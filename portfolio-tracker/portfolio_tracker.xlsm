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navmalhotra/Documents/Codex/2026-08-25/su/outputs/"/>
    </mc:Choice>
  </mc:AlternateContent>
  <xr:revisionPtr revIDLastSave="0" documentId="13_ncr:1_{E1B3567C-1FDE-AF44-912F-44C8E8ED8FE1}" xr6:coauthVersionLast="47" xr6:coauthVersionMax="47" xr10:uidLastSave="{00000000-0000-0000-0000-000000000000}"/>
  <bookViews>
    <workbookView xWindow="1060" yWindow="660" windowWidth="33500" windowHeight="21680" xr2:uid="{00000000-000D-0000-FFFF-FFFF00000000}"/>
  </bookViews>
  <sheets>
    <sheet name="Dashboard" sheetId="1" r:id="rId1"/>
    <sheet name="Current Balances" sheetId="2" r:id="rId2"/>
    <sheet name="Portfolio History" sheetId="3" r:id="rId3"/>
  </sheets>
  <definedNames>
    <definedName name="_xlchart.v1.0" hidden="1">Dashboard!$AB$10:$BY$10</definedName>
    <definedName name="_xlchart.v1.1" hidden="1">Dashboard!$AB$11:$BY$11</definedName>
    <definedName name="_xlchart.v1.2" hidden="1">Dashboard!$AB$10:$BY$10</definedName>
    <definedName name="_xlchart.v1.3" hidden="1">Dashboard!$AB$11:$BY$11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3" l="1"/>
  <c r="G55" i="3"/>
  <c r="H54" i="3"/>
  <c r="G54" i="3"/>
  <c r="H53" i="3"/>
  <c r="G53" i="3"/>
  <c r="H52" i="3"/>
  <c r="G52" i="3"/>
  <c r="H51" i="3"/>
  <c r="G51" i="3"/>
  <c r="H50" i="3"/>
  <c r="G50" i="3"/>
  <c r="H49" i="3"/>
  <c r="G49" i="3"/>
  <c r="H48" i="3"/>
  <c r="G48" i="3"/>
  <c r="H47" i="3"/>
  <c r="G47" i="3"/>
  <c r="H46" i="3"/>
  <c r="G46" i="3"/>
  <c r="H45" i="3"/>
  <c r="G45" i="3"/>
  <c r="H44" i="3"/>
  <c r="G44" i="3"/>
  <c r="H43" i="3"/>
  <c r="G43" i="3"/>
  <c r="H42" i="3"/>
  <c r="G42" i="3"/>
  <c r="H41" i="3"/>
  <c r="G41" i="3"/>
  <c r="H40" i="3"/>
  <c r="G40" i="3"/>
  <c r="H39" i="3"/>
  <c r="G39" i="3"/>
  <c r="H38" i="3"/>
  <c r="G38" i="3"/>
  <c r="H37" i="3"/>
  <c r="G37" i="3"/>
  <c r="H36" i="3"/>
  <c r="G36" i="3"/>
  <c r="H35" i="3"/>
  <c r="G35" i="3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H22" i="3"/>
  <c r="G22" i="3"/>
  <c r="H21" i="3"/>
  <c r="G21" i="3"/>
  <c r="H20" i="3"/>
  <c r="G20" i="3"/>
  <c r="H19" i="3"/>
  <c r="G19" i="3"/>
  <c r="H18" i="3"/>
  <c r="G18" i="3"/>
  <c r="H17" i="3"/>
  <c r="G17" i="3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B16" i="1" a="1"/>
  <c r="B16" i="1" s="1"/>
  <c r="B10" i="1" a="1"/>
  <c r="B10" i="1" s="1"/>
  <c r="B7" i="1"/>
  <c r="B27" i="1"/>
  <c r="B13" i="1"/>
  <c r="B12" i="1"/>
  <c r="J7" i="2"/>
  <c r="J8" i="2"/>
  <c r="J9" i="2"/>
  <c r="J10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I7" i="2"/>
  <c r="I8" i="2"/>
  <c r="I9" i="2"/>
  <c r="I10" i="2"/>
  <c r="I11" i="2"/>
  <c r="J11" i="2" s="1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E10" i="1"/>
  <c r="E9" i="1"/>
  <c r="E8" i="1"/>
  <c r="B8" i="1"/>
  <c r="E7" i="1"/>
  <c r="E6" i="1"/>
  <c r="E5" i="1"/>
  <c r="B5" i="1"/>
  <c r="E4" i="1"/>
  <c r="B4" i="1"/>
  <c r="A27" i="1" l="1"/>
  <c r="A28" i="1"/>
  <c r="B28" i="1"/>
  <c r="B29" i="1"/>
  <c r="A29" i="1"/>
  <c r="B30" i="1"/>
  <c r="A30" i="1"/>
  <c r="A31" i="1"/>
  <c r="B31" i="1"/>
  <c r="B32" i="1"/>
  <c r="A32" i="1"/>
  <c r="A33" i="1"/>
  <c r="B33" i="1"/>
  <c r="A34" i="1"/>
  <c r="B34" i="1"/>
  <c r="B14" i="1"/>
  <c r="B35" i="1"/>
  <c r="A35" i="1"/>
  <c r="A36" i="1"/>
  <c r="B36" i="1"/>
  <c r="B9" i="1"/>
  <c r="B6" i="1"/>
  <c r="B11" i="1" s="1"/>
  <c r="B15" i="1" l="1"/>
  <c r="B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<sst xmlns="http://schemas.openxmlformats.org/spreadsheetml/2006/main" count="141" uniqueCount="58">
  <si>
    <t>Portfolio dashboard</t>
  </si>
  <si>
    <t>Portfolio summary</t>
  </si>
  <si>
    <t>Value</t>
  </si>
  <si>
    <t>Asset allocation</t>
  </si>
  <si>
    <t>Total assets</t>
  </si>
  <si>
    <t>Cash</t>
  </si>
  <si>
    <t>Total liabilities</t>
  </si>
  <si>
    <t>Equity</t>
  </si>
  <si>
    <t>Net worth</t>
  </si>
  <si>
    <t>Mutual funds / ETFs</t>
  </si>
  <si>
    <t>Last snapshot</t>
  </si>
  <si>
    <t>Fixed income</t>
  </si>
  <si>
    <t>Retirement</t>
  </si>
  <si>
    <t>Investments</t>
  </si>
  <si>
    <t>Gold / alternatives</t>
  </si>
  <si>
    <t>Change since prior snapshot</t>
  </si>
  <si>
    <t>Other</t>
  </si>
  <si>
    <t>Growth since prior snapshot</t>
  </si>
  <si>
    <t>How to use this tracker</t>
  </si>
  <si>
    <t>Update only the Amount column on Current Balances. Then run the RecordSnapshot macro to save the current portfolio totals. The macro keeps the most recent 10 snapshots in Portfolio History.</t>
  </si>
  <si>
    <t>History preview</t>
  </si>
  <si>
    <t>Current balances</t>
  </si>
  <si>
    <t>Asset / account</t>
  </si>
  <si>
    <t>Asset class</t>
  </si>
  <si>
    <t>Institution</t>
  </si>
  <si>
    <t>Balance type</t>
  </si>
  <si>
    <t>Amount</t>
  </si>
  <si>
    <t>Notes</t>
  </si>
  <si>
    <t>Primary checking</t>
  </si>
  <si>
    <t>Asset</t>
  </si>
  <si>
    <t>Savings account</t>
  </si>
  <si>
    <t>Indian stocks</t>
  </si>
  <si>
    <t>International stocks</t>
  </si>
  <si>
    <t>Fixed deposits / bonds</t>
  </si>
  <si>
    <t>EPF / PPF / retirement</t>
  </si>
  <si>
    <t>Gold</t>
  </si>
  <si>
    <t>Credit card balance</t>
  </si>
  <si>
    <t>Liability</t>
  </si>
  <si>
    <t>Loan balance</t>
  </si>
  <si>
    <t>The RecordSnapshot macro stores values, not formulas, so prior portfolio states remain unchanged after future balance updates.</t>
  </si>
  <si>
    <t>Recorded at</t>
  </si>
  <si>
    <t>Liabilities</t>
  </si>
  <si>
    <t>Net worth change</t>
  </si>
  <si>
    <t>Growth %</t>
  </si>
  <si>
    <t>Update Current value and Invested amount only for market investments. Gain / loss and Profit % calculate automatically.</t>
  </si>
  <si>
    <t>Investment status</t>
  </si>
  <si>
    <t>Invested amount</t>
  </si>
  <si>
    <t>Gain / loss</t>
  </si>
  <si>
    <t>Profit %</t>
  </si>
  <si>
    <t>Cash / emergency fund</t>
  </si>
  <si>
    <t>Market investment</t>
  </si>
  <si>
    <t>Current investment value</t>
  </si>
  <si>
    <t>Amount invested</t>
  </si>
  <si>
    <t>Profit / loss</t>
  </si>
  <si>
    <t>Profit % at last snapshot</t>
  </si>
  <si>
    <t>Profit % change</t>
  </si>
  <si>
    <t>Current value</t>
  </si>
  <si>
    <t>Portfolio history (latest 50 snapshots)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</si>
</sst>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"/>
    <numFmt numFmtId="165" formatCode="0.0%"/>
    <numFmt numFmtId="166" formatCode="dd\-mmm\-yyyy"/>
    <numFmt numFmtId="167" formatCode="dd\-mmm\-yy"/>
  </numFmts>
  <fonts count="7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17324D"/>
      <name val="Carlito"/>
    </font>
    <font>
      <b/>
      <sz val="11"/>
      <color rgb="FF2E7D32"/>
      <name val="Carlito"/>
    </font>
    <font>
      <sz val="8"/>
      <name val="Carlito"/>
    </font>
    <font>
      <b/>
      <sz val="16"/>
      <color rgb="FF16803A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1F6E8C"/>
      </patternFill>
    </fill>
    <fill>
      <patternFill patternType="solid">
        <fgColor rgb="FFE2F0D9"/>
      </patternFill>
    </fill>
    <fill>
      <patternFill patternType="solid">
        <fgColor rgb="FFEAF3F7"/>
      </patternFill>
    </fill>
    <fill>
      <patternFill patternType="solid">
        <fgColor rgb="FFDDEBF7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3" borderId="0" xfId="0" applyFont="1" applyFill="1" applyAlignment="1">
      <alignment vertical="center"/>
    </xf>
    <xf numFmtId="4" fontId="0" fillId="0" borderId="0" xfId="0" applyNumberFormat="1"/>
    <xf numFmtId="0" fontId="0" fillId="0" borderId="1" xfId="0" applyBorder="1"/>
    <xf numFmtId="4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0" fontId="3" fillId="0" borderId="1" xfId="0" applyFont="1" applyBorder="1"/>
    <xf numFmtId="4" fontId="4" fillId="4" borderId="1" xfId="0" applyNumberFormat="1" applyFont="1" applyFill="1" applyBorder="1"/>
    <xf numFmtId="0" fontId="3" fillId="6" borderId="0" xfId="0" applyFont="1" applyFill="1" applyAlignment="1">
      <alignment vertical="center"/>
    </xf>
    <xf numFmtId="166" fontId="0" fillId="0" borderId="0" xfId="0" applyNumberFormat="1"/>
    <xf numFmtId="0" fontId="0" fillId="0" borderId="1" xfId="0" applyBorder="1" applyAlignment="1">
      <alignment vertical="center"/>
    </xf>
    <xf numFmtId="4" fontId="0" fillId="7" borderId="1" xfId="0" applyNumberForma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5" borderId="1" xfId="0" applyFill="1" applyBorder="1" applyAlignment="1">
      <alignment vertical="center" wrapText="1"/>
    </xf>
    <xf numFmtId="0" fontId="2" fillId="3" borderId="0" xfId="0" applyFont="1" applyFill="1" applyAlignment="1">
      <alignment vertical="center"/>
    </xf>
    <xf numFmtId="0" fontId="0" fillId="5" borderId="2" xfId="0" applyFill="1" applyBorder="1" applyAlignment="1">
      <alignment vertical="center" wrapText="1"/>
    </xf>
    <xf numFmtId="0" fontId="0" fillId="5" borderId="0" xfId="0" applyFill="1" applyBorder="1" applyAlignment="1">
      <alignment vertical="center" wrapText="1"/>
    </xf>
    <xf numFmtId="0" fontId="3" fillId="0" borderId="0" xfId="0" applyFont="1" applyBorder="1"/>
    <xf numFmtId="165" fontId="0" fillId="0" borderId="0" xfId="0" applyNumberFormat="1" applyBorder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4" fontId="0" fillId="0" borderId="0" xfId="0" applyNumberFormat="1" applyBorder="1"/>
    <xf numFmtId="0" fontId="6" fillId="0" borderId="0" xfId="0" applyFont="1"/>
    <xf numFmtId="167" fontId="0" fillId="0" borderId="0" xfId="0" applyNumberFormat="1"/>
  </cellXfs>
  <cellStyles count="1">
    <cellStyle name="Normal" xfId="0" builtinId="0"/>
  </cellStyles>
  <dxfs count="2">
    <dxf>
      <numFmt numFmtId="165" formatCode="0.0%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en-IN"/>
              <a:t>Net worth history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worth</c:v>
          </c:tx>
          <c:cat>
            <c:numRef>
              <c:f>Dashboard!$AB$10:$BY$10</c:f>
              <c:numCache>
                <c:formatCode>d\-mmm\-yy</c:formatCode>
                <c:ptCount val="50"/>
                <c:pt idx="0">
                  <c:v>46277</c:v>
                </c:pt>
              </c:numCache>
            </c:numRef>
          </c:cat>
          <c:val>
            <c:numRef>
              <c:f>Dashboard!$AB$11:$BY$11</c:f>
              <c:numCache>
                <c:formatCode>#,##0.00</c:formatCode>
                <c:ptCount val="50"/>
                <c:pt idx="0">
                  <c:v>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8-0142-9491-7B0610163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date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d\-mmm\-yy" sourceLinked="1"/>
        <c:majorTickMark val="none"/>
        <c:minorTickMark val="none"/>
        <c:tickLblPos val="nextTo"/>
        <c:crossAx val="48672768"/>
        <c:crosses val="autoZero"/>
        <c:auto val="1"/>
        <c:lblOffset val="100"/>
        <c:baseTimeUnit val="days"/>
      </c:date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#,##0.0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gap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%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Dashboard!$AA$2</c:f>
              <c:strCache>
                <c:ptCount val="1"/>
                <c:pt idx="0">
                  <c:v>Profit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Dashboard!$AB$1</c:f>
              <c:numCache>
                <c:formatCode>m/d/yy</c:formatCode>
                <c:ptCount val="1"/>
                <c:pt idx="0">
                  <c:v>46277</c:v>
                </c:pt>
              </c:numCache>
            </c:numRef>
          </c:cat>
          <c:val>
            <c:numRef>
              <c:f>Dashboard!$AB$2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9A-414A-9067-CE0E3BA2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719487"/>
        <c:axId val="1065726207"/>
      </c:lineChart>
      <c:dateAx>
        <c:axId val="1065719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Snapshot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726207"/>
        <c:crosses val="autoZero"/>
        <c:auto val="1"/>
        <c:lblOffset val="100"/>
        <c:baseTimeUnit val="days"/>
      </c:dateAx>
      <c:valAx>
        <c:axId val="106572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Profit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71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allocation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Dashboard!$E$3</c:f>
              <c:strCache>
                <c:ptCount val="1"/>
                <c:pt idx="0">
                  <c:v>Value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Dashboard!$D$4:$D$10</c:f>
              <c:strCache>
                <c:ptCount val="7"/>
                <c:pt idx="0">
                  <c:v>Cash</c:v>
                </c:pt>
                <c:pt idx="1">
                  <c:v>Equity</c:v>
                </c:pt>
                <c:pt idx="2">
                  <c:v>Mutual funds / ETFs</c:v>
                </c:pt>
                <c:pt idx="3">
                  <c:v>Fixed income</c:v>
                </c:pt>
                <c:pt idx="4">
                  <c:v>Retirement</c:v>
                </c:pt>
                <c:pt idx="5">
                  <c:v>Gold / alternatives</c:v>
                </c:pt>
                <c:pt idx="6">
                  <c:v>Other</c:v>
                </c:pt>
              </c:strCache>
            </c:strRef>
          </c:cat>
          <c:val>
            <c:numRef>
              <c:f>Dashboard!$E$4:$E$10</c:f>
              <c:numCache>
                <c:formatCode>#,##0.00</c:formatCode>
                <c:ptCount val="7"/>
                <c:pt idx="0">
                  <c:v>20000</c:v>
                </c:pt>
                <c:pt idx="1">
                  <c:v>0</c:v>
                </c:pt>
                <c:pt idx="2">
                  <c:v>100000</c:v>
                </c:pt>
                <c:pt idx="3">
                  <c:v>0</c:v>
                </c:pt>
                <c:pt idx="4">
                  <c:v>0</c:v>
                </c:pt>
                <c:pt idx="5">
                  <c:v>200000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8-0A43-B41A-1D4A174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Invested vs current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Dashboard!$AA$5</c:f>
              <c:strCache>
                <c:ptCount val="1"/>
                <c:pt idx="0">
                  <c:v>Invested 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Dashboard!$AB$4</c:f>
              <c:numCache>
                <c:formatCode>m/d/yy</c:formatCode>
                <c:ptCount val="1"/>
                <c:pt idx="0">
                  <c:v>46277</c:v>
                </c:pt>
              </c:numCache>
            </c:numRef>
          </c:cat>
          <c:val>
            <c:numRef>
              <c:f>Dashboard!$AB$5</c:f>
              <c:numCache>
                <c:formatCode>General</c:formatCode>
                <c:ptCount val="1"/>
                <c:pt idx="0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5-464F-B1D6-CB9C48341F4D}"/>
            </c:ext>
          </c:extLst>
        </c:ser>
        <c:ser>
          <c:idx val="1"/>
          <c:order val="1"/>
          <c:tx>
            <c:strRef>
              <c:f>Dashboard!$AA$6</c:f>
              <c:strCache>
                <c:ptCount val="1"/>
                <c:pt idx="0">
                  <c:v>Current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Dashboard!$AB$4</c:f>
              <c:numCache>
                <c:formatCode>m/d/yy</c:formatCode>
                <c:ptCount val="1"/>
                <c:pt idx="0">
                  <c:v>46277</c:v>
                </c:pt>
              </c:numCache>
            </c:numRef>
          </c:cat>
          <c:val>
            <c:numRef>
              <c:f>Dashboard!$AB$6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F5-464F-B1D6-CB9C48341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3534719"/>
        <c:axId val="1023533823"/>
      </c:barChart>
      <c:dateAx>
        <c:axId val="1023534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Snapshot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533823"/>
        <c:crosses val="autoZero"/>
        <c:auto val="1"/>
        <c:lblOffset val="100"/>
        <c:baseTimeUnit val="days"/>
      </c:dateAx>
      <c:valAx>
        <c:axId val="102353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53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25</xdr:row>
      <xdr:rowOff>0</xdr:rowOff>
    </xdr:from>
    <xdr:to>
      <xdr:col>8</xdr:col>
      <xdr:colOff>0</xdr:colOff>
      <xdr:row>40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42</xdr:row>
      <xdr:rowOff>0</xdr:rowOff>
    </xdr:from>
    <xdr:to>
      <xdr:col>8</xdr:col>
      <xdr:colOff>0</xdr:colOff>
      <xdr:row>58</xdr:row>
      <xdr:rowOff>0</xdr:rowOff>
    </xdr:to>
    <xdr:graphicFrame macro="">
      <xdr:nvGraphicFramePr>
        <xdr:cNvPr id="3" name="InvestmentReturnHistoryChart">
          <a:extLst>
            <a:ext uri="{FF2B5EF4-FFF2-40B4-BE49-F238E27FC236}">
              <a16:creationId xmlns:a16="http://schemas.microsoft.com/office/drawing/2014/main" id="{4D08394E-57AE-7502-7A31-88F68F752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15</xdr:col>
      <xdr:colOff>0</xdr:colOff>
      <xdr:row>27</xdr:row>
      <xdr:rowOff>0</xdr:rowOff>
    </xdr:to>
    <xdr:graphicFrame macro="">
      <xdr:nvGraphicFramePr>
        <xdr:cNvPr id="4" name="AssetAllocationChart">
          <a:extLst>
            <a:ext uri="{FF2B5EF4-FFF2-40B4-BE49-F238E27FC236}">
              <a16:creationId xmlns:a16="http://schemas.microsoft.com/office/drawing/2014/main" id="{BE301047-9F1D-E864-C27E-BC3A348959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17</xdr:col>
      <xdr:colOff>0</xdr:colOff>
      <xdr:row>58</xdr:row>
      <xdr:rowOff>0</xdr:rowOff>
    </xdr:to>
    <xdr:graphicFrame macro="">
      <xdr:nvGraphicFramePr>
        <xdr:cNvPr id="5" name="CurrentVsInvestedPercentChart">
          <a:extLst>
            <a:ext uri="{FF2B5EF4-FFF2-40B4-BE49-F238E27FC236}">
              <a16:creationId xmlns:a16="http://schemas.microsoft.com/office/drawing/2014/main" id="{65F0D3C1-7AE8-1845-91F5-32E979069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647700</xdr:colOff>
      <xdr:row>9</xdr:row>
      <xdr:rowOff>114300</xdr:rowOff>
    </xdr:from>
    <xdr:to>
      <xdr:col>20</xdr:col>
      <xdr:colOff>292100</xdr:colOff>
      <xdr:row>21</xdr:row>
      <xdr:rowOff>152400</xdr:rowOff>
    </xdr:to>
    <xdr:sp macro="[0]!RecordPortfolioSnapshotV4" textlink="">
      <xdr:nvSpPr>
        <xdr:cNvPr id="9" name="Smiley Face 8">
          <a:extLst>
            <a:ext uri="{FF2B5EF4-FFF2-40B4-BE49-F238E27FC236}">
              <a16:creationId xmlns:a16="http://schemas.microsoft.com/office/drawing/2014/main" id="{2A6904CA-E9EB-B862-21E6-CBE3CAE99CBD}"/>
            </a:ext>
          </a:extLst>
        </xdr:cNvPr>
        <xdr:cNvSpPr/>
      </xdr:nvSpPr>
      <xdr:spPr>
        <a:xfrm>
          <a:off x="15062200" y="1981200"/>
          <a:ext cx="2336800" cy="228600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0</xdr:colOff>
      <xdr:row>55</xdr:row>
      <xdr:rowOff>50800</xdr:rowOff>
    </xdr:from>
    <xdr:to>
      <xdr:col>13</xdr:col>
      <xdr:colOff>304800</xdr:colOff>
      <xdr:row>56</xdr:row>
      <xdr:rowOff>228600</xdr:rowOff>
    </xdr:to>
    <xdr:sp macro="" textlink="">
      <xdr:nvSpPr>
        <xdr:cNvPr id="10" name="ProfitLabelInside">
          <a:extLst>
            <a:ext uri="{FF2B5EF4-FFF2-40B4-BE49-F238E27FC236}">
              <a16:creationId xmlns:a16="http://schemas.microsoft.com/office/drawing/2014/main" id="{AD59ADD2-BC7C-3E1E-7143-B463467D9116}"/>
            </a:ext>
          </a:extLst>
        </xdr:cNvPr>
        <xdr:cNvSpPr txBox="1"/>
      </xdr:nvSpPr>
      <xdr:spPr>
        <a:xfrm>
          <a:off x="11049000" y="10223500"/>
          <a:ext cx="1651000" cy="355600"/>
        </a:xfrm>
        <a:prstGeom prst="rect">
          <a:avLst/>
        </a:prstGeom>
        <a:solidFill>
          <a:prstClr val="white">
            <a:alpha val="0"/>
          </a:prstClr>
        </a:solidFill>
        <a:ln>
          <a:solidFill>
            <a:prstClr val="black">
              <a:alpha val="0"/>
            </a:prstClr>
          </a:solidFill>
        </a:ln>
      </xdr:spPr>
      <xdr:txBody>
        <a:bodyPr vertOverflow="overflow" vert="horz" wrap="square" rtlCol="0" anchor="t">
          <a:spAutoFit/>
        </a:bodyPr>
        <a:lstStyle/>
        <a:p>
          <a:pPr algn="l"/>
          <a:r>
            <a:rPr kumimoji="0" lang="en-GB" sz="1600" b="1" i="0" u="none" strike="noStrike" kern="0" cap="none" spc="0" normalizeH="0" baseline="0" noProof="0">
              <a:ln>
                <a:noFill/>
              </a:ln>
              <a:solidFill>
                <a:srgbClr val="16803A"/>
              </a:solidFill>
              <a:effectLst/>
              <a:uLnTx/>
              <a:uFillTx/>
              <a:latin typeface="Calibri"/>
              <a:cs typeface="Calibri"/>
            </a:rPr>
            <a:t>Profit: 26.3%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rrentBalances" displayName="CurrentBalances" ref="A6:J30" totalsRowShown="0">
  <tableColumns count="10">
    <tableColumn id="1" xr3:uid="{00000000-0010-0000-0000-000001000000}" name="Asset / account"/>
    <tableColumn id="2" xr3:uid="{00000000-0010-0000-0000-000002000000}" name="Asset class"/>
    <tableColumn id="3" xr3:uid="{00000000-0010-0000-0000-000003000000}" name="Institution"/>
    <tableColumn id="4" xr3:uid="{00000000-0010-0000-0000-000004000000}" name="Balance type"/>
    <tableColumn id="5" xr3:uid="{00000000-0010-0000-0000-000005000000}" name="Amount"/>
    <tableColumn id="6" xr3:uid="{00000000-0010-0000-0000-000006000000}" name="Notes"/>
    <tableColumn id="7" xr3:uid="{9EAC0FB0-0E2A-6C48-AF79-CFFF9ECC5DD2}" name="Investment status"/>
    <tableColumn id="8" xr3:uid="{B0303475-ADE8-4347-BE01-127EB1D9B57A}" name="Invested amount"/>
    <tableColumn id="9" xr3:uid="{EDCB4DEC-8A3F-FA42-AE6A-F48DB8E9F4B2}" name="Gain / loss">
      <calculatedColumnFormula>IF(OR(G7&lt;&gt;"Market investment",H7="",E7=""),"",E7-H7)</calculatedColumnFormula>
    </tableColumn>
    <tableColumn id="10" xr3:uid="{E55BF8B1-EA71-454F-823C-944CBA66A418}" name="Profit %">
      <calculatedColumnFormula>IF(OR(G7&lt;&gt;"Market investment",H7="",H7=0,E7=""),"",I7/H7)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ortfolioHistory" displayName="PortfolioHistory" ref="A5:L55" totalsRowShown="0">
  <tableColumns count="12">
    <tableColumn id="1" xr3:uid="{00000000-0010-0000-0100-000001000000}" name="Recorded at"/>
    <tableColumn id="2" xr3:uid="{00000000-0010-0000-0100-000002000000}" name="Total assets"/>
    <tableColumn id="3" xr3:uid="{00000000-0010-0000-0100-000003000000}" name="Liabilities"/>
    <tableColumn id="4" xr3:uid="{00000000-0010-0000-0100-000004000000}" name="Net worth"/>
    <tableColumn id="5" xr3:uid="{00000000-0010-0000-0100-000005000000}" name="Cash"/>
    <tableColumn id="6" xr3:uid="{00000000-0010-0000-0100-000006000000}" name="Investments"/>
    <tableColumn id="7" xr3:uid="{00000000-0010-0000-0100-000007000000}" name="Net worth change" dataDxfId="1">
      <calculatedColumnFormula>IF(OR(A6="",A5="",D5=""),"",D6-D5)</calculatedColumnFormula>
    </tableColumn>
    <tableColumn id="8" xr3:uid="{00000000-0010-0000-0100-000008000000}" name="Growth %" dataDxfId="0">
      <calculatedColumnFormula>IF(OR(A6="",A5="",D5="",D5=0),"",G6/D5)</calculatedColumnFormula>
    </tableColumn>
    <tableColumn id="9" xr3:uid="{871E0D63-E94D-C84C-BD4D-BFD6FA1934AA}" name="Current investment value"/>
    <tableColumn id="10" xr3:uid="{43D7C8C9-37ED-994B-9B96-6B41350E2847}" name="Amount invested"/>
    <tableColumn id="11" xr3:uid="{86A01AA3-1442-5C46-9576-9C4A91BC3190}" name="Profit / loss"/>
    <tableColumn id="12" xr3:uid="{9C108491-5E0D-1F46-8045-9F8BD9904D0B}" name="Profit 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4F4499-7303-4343-A40D-C40511971390}">
  <we:reference id="cba9fc06-6fc9-492e-9525-923870a3b909" version="2.0.0.0" store="EXCatalog" storeType="EXCatalog"/>
  <we:alternateReferences>
    <we:reference id="WA200010215" version="2.0.0.0" store="en-GB" storeType="OMEX"/>
  </we:alternateReferences>
  <we:properties>
    <we:property name="bps.codex_control.document_id" value="&quot;27e71275-cbdf-4888-b7fc-f7f68be2aac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Y57"/>
  <sheetViews>
    <sheetView showGridLines="0" tabSelected="1" workbookViewId="0">
      <pane ySplit="2" topLeftCell="A3" activePane="bottomLeft" state="frozen"/>
      <selection pane="bottomLeft" activeCell="U42" sqref="U42"/>
    </sheetView>
  </sheetViews>
  <sheetFormatPr baseColWidth="10" defaultColWidth="8.83203125" defaultRowHeight="14"/>
  <cols>
    <col min="1" max="1" width="29" customWidth="1"/>
    <col min="2" max="2" width="18" customWidth="1"/>
    <col min="3" max="3" width="3" customWidth="1"/>
    <col min="4" max="4" width="24" customWidth="1"/>
    <col min="5" max="5" width="18" customWidth="1"/>
    <col min="28" max="41" width="12" bestFit="1" customWidth="1"/>
    <col min="42" max="42" width="11.6640625" bestFit="1" customWidth="1"/>
    <col min="43" max="43" width="11.33203125" bestFit="1" customWidth="1"/>
    <col min="44" max="44" width="11" bestFit="1" customWidth="1"/>
    <col min="45" max="45" width="10.6640625" bestFit="1" customWidth="1"/>
  </cols>
  <sheetData>
    <row r="1" spans="1:77" ht="28" customHeight="1">
      <c r="A1" s="13" t="s">
        <v>0</v>
      </c>
      <c r="B1" s="13"/>
      <c r="C1" s="13"/>
      <c r="D1" s="13"/>
      <c r="E1" s="13"/>
      <c r="F1" s="13"/>
      <c r="G1" s="13"/>
      <c r="H1" s="13"/>
      <c r="AB1" s="22">
        <v>46277</v>
      </c>
    </row>
    <row r="2" spans="1:77">
      <c r="AA2" t="s">
        <v>48</v>
      </c>
      <c r="AB2">
        <v>0.25</v>
      </c>
    </row>
    <row r="3" spans="1:77" ht="15">
      <c r="A3" s="1" t="s">
        <v>1</v>
      </c>
      <c r="B3" s="1" t="s">
        <v>2</v>
      </c>
      <c r="D3" s="1" t="s">
        <v>3</v>
      </c>
      <c r="E3" s="1" t="s">
        <v>2</v>
      </c>
    </row>
    <row r="4" spans="1:77" ht="15">
      <c r="A4" s="7" t="s">
        <v>4</v>
      </c>
      <c r="B4" s="4">
        <f>SUMIFS('Current Balances'!$E$7:$E$30,'Current Balances'!$D$7:$D$30,"Asset")</f>
        <v>320000</v>
      </c>
      <c r="D4" s="3" t="s">
        <v>5</v>
      </c>
      <c r="E4" s="4">
        <f>SUMIFS('Current Balances'!$E$7:$E$30,'Current Balances'!$B$7:$B$30,D4,'Current Balances'!$D$7:$D$30,"Asset")</f>
        <v>20000</v>
      </c>
      <c r="AB4" s="22">
        <v>46277</v>
      </c>
    </row>
    <row r="5" spans="1:77" ht="15">
      <c r="A5" s="7" t="s">
        <v>6</v>
      </c>
      <c r="B5" s="4">
        <f>SUMIFS('Current Balances'!$E$7:$E$30,'Current Balances'!$D$7:$D$30,"Liability")</f>
        <v>0</v>
      </c>
      <c r="D5" s="3" t="s">
        <v>7</v>
      </c>
      <c r="E5" s="4">
        <f>SUMIFS('Current Balances'!$E$7:$E$30,'Current Balances'!$B$7:$B$30,D5,'Current Balances'!$D$7:$D$30,"Asset")</f>
        <v>0</v>
      </c>
      <c r="AA5" t="s">
        <v>46</v>
      </c>
      <c r="AB5">
        <v>80000</v>
      </c>
    </row>
    <row r="6" spans="1:77" ht="15">
      <c r="A6" s="7" t="s">
        <v>8</v>
      </c>
      <c r="B6" s="8">
        <f>B4-B5</f>
        <v>320000</v>
      </c>
      <c r="D6" s="3" t="s">
        <v>9</v>
      </c>
      <c r="E6" s="4">
        <f>SUMIFS('Current Balances'!$E$7:$E$30,'Current Balances'!$B$7:$B$30,D6,'Current Balances'!$D$7:$D$30,"Asset")</f>
        <v>100000</v>
      </c>
      <c r="AA6" t="s">
        <v>56</v>
      </c>
      <c r="AB6">
        <v>100000</v>
      </c>
    </row>
    <row r="7" spans="1:77" ht="15">
      <c r="A7" s="7" t="s">
        <v>10</v>
      </c>
      <c r="B7" s="5">
        <f>IF(COUNTA('Portfolio History'!$A$6:$A$55)=0,"No snapshots yet",MAX('Portfolio History'!$A$6:$A$55))</f>
        <v>46277.791215277779</v>
      </c>
      <c r="D7" s="3" t="s">
        <v>11</v>
      </c>
      <c r="E7" s="4">
        <f>SUMIFS('Current Balances'!$E$7:$E$30,'Current Balances'!$B$7:$B$30,D7,'Current Balances'!$D$7:$D$30,"Asset")</f>
        <v>0</v>
      </c>
    </row>
    <row r="8" spans="1:77" ht="15">
      <c r="A8" s="7" t="s">
        <v>5</v>
      </c>
      <c r="B8" s="4">
        <f>SUMIFS('Current Balances'!$E$7:$E$30,'Current Balances'!$B$7:$B$30,"Cash",'Current Balances'!$D$7:$D$30,"Asset")</f>
        <v>20000</v>
      </c>
      <c r="D8" s="3" t="s">
        <v>12</v>
      </c>
      <c r="E8" s="4">
        <f>SUMIFS('Current Balances'!$E$7:$E$30,'Current Balances'!$B$7:$B$30,D8,'Current Balances'!$D$7:$D$30,"Asset")</f>
        <v>0</v>
      </c>
    </row>
    <row r="9" spans="1:77" ht="15">
      <c r="A9" s="7" t="s">
        <v>13</v>
      </c>
      <c r="B9" s="4">
        <f>B4-B8</f>
        <v>300000</v>
      </c>
      <c r="D9" s="3" t="s">
        <v>14</v>
      </c>
      <c r="E9" s="4">
        <f>SUMIFS('Current Balances'!$E$7:$E$30,'Current Balances'!$B$7:$B$30,D9,'Current Balances'!$D$7:$D$30,"Asset")</f>
        <v>200000</v>
      </c>
    </row>
    <row r="10" spans="1:77" ht="15">
      <c r="A10" s="7" t="s">
        <v>15</v>
      </c>
      <c r="B10" s="4" cm="1">
        <f t="array" ref="B10">IF(COUNTA('Portfolio History'!$A$6:$A$55)&lt;2,"n.a.",LOOKUP(2,1/('Portfolio History'!$D$6:$D$55&lt;&gt;""),'Portfolio History'!$D$6:$D$55)-LOOKUP(2,1/('Portfolio History'!$D$6:$D$54&lt;&gt;""),'Portfolio History'!$D$6:$D$54))</f>
        <v>0</v>
      </c>
      <c r="D10" s="3" t="s">
        <v>16</v>
      </c>
      <c r="E10" s="4">
        <f>SUMIFS('Current Balances'!$E$7:$E$30,'Current Balances'!$B$7:$B$30,D10,'Current Balances'!$D$7:$D$30,"Asset")</f>
        <v>0</v>
      </c>
      <c r="AB10" s="25">
        <v>46277</v>
      </c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</row>
    <row r="11" spans="1:77" ht="15">
      <c r="A11" s="7" t="s">
        <v>17</v>
      </c>
      <c r="B11" s="6">
        <f>IF(OR(NOT(ISNUMBER(B10)),B6=0),"n.a.",B10/(B6-B10))</f>
        <v>0</v>
      </c>
      <c r="AB11" s="2">
        <v>320000</v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1:77" ht="15">
      <c r="A12" s="18" t="s">
        <v>51</v>
      </c>
      <c r="B12" s="23">
        <f>SUMIFS('Current Balances'!$E$7:$E$30,'Current Balances'!$G$7:$G$30,"Market investment",'Current Balances'!$D$7:$D$30,"Asset")</f>
        <v>100000</v>
      </c>
    </row>
    <row r="13" spans="1:77" ht="15">
      <c r="A13" s="18" t="s">
        <v>52</v>
      </c>
      <c r="B13" s="23">
        <f>SUMIFS('Current Balances'!$H$7:$H$30,'Current Balances'!$G$7:$G$30,"Market investment",'Current Balances'!$D$7:$D$30,"Asset")</f>
        <v>80000</v>
      </c>
    </row>
    <row r="14" spans="1:77" ht="15">
      <c r="A14" s="18" t="s">
        <v>53</v>
      </c>
      <c r="B14" s="23">
        <f>B12-B13</f>
        <v>20000</v>
      </c>
    </row>
    <row r="15" spans="1:77" ht="15">
      <c r="A15" s="18" t="s">
        <v>48</v>
      </c>
      <c r="B15" s="19">
        <f>IF(OR(B13=0,B13=""),"n.a.",B14/B13)</f>
        <v>0.25</v>
      </c>
    </row>
    <row r="16" spans="1:77" ht="15">
      <c r="A16" s="18" t="s">
        <v>54</v>
      </c>
      <c r="B16" s="19" cm="1">
        <f t="array" ref="B16">IFERROR(LOOKUP(2,1/('Portfolio History'!$L$6:$L$55&lt;&gt;""),'Portfolio History'!$L$6:$L$55),"n.a.")</f>
        <v>0.25</v>
      </c>
    </row>
    <row r="17" spans="1:8" ht="15">
      <c r="A17" s="18" t="s">
        <v>55</v>
      </c>
      <c r="B17" s="19">
        <f>IF(OR(NOT(ISNUMBER(B15)),NOT(ISNUMBER(B16))),"n.a.",B15-B16)</f>
        <v>0</v>
      </c>
    </row>
    <row r="20" spans="1:8" ht="15">
      <c r="A20" s="15" t="s">
        <v>18</v>
      </c>
      <c r="B20" s="15"/>
      <c r="C20" s="15"/>
      <c r="D20" s="15"/>
      <c r="E20" s="15"/>
      <c r="F20" s="15"/>
      <c r="G20" s="15"/>
      <c r="H20" s="15"/>
    </row>
    <row r="21" spans="1:8">
      <c r="A21" s="14" t="s">
        <v>19</v>
      </c>
      <c r="B21" s="14"/>
      <c r="C21" s="14"/>
      <c r="D21" s="14"/>
      <c r="E21" s="14"/>
      <c r="F21" s="14"/>
      <c r="G21" s="14"/>
      <c r="H21" s="14"/>
    </row>
    <row r="22" spans="1:8">
      <c r="A22" s="14"/>
      <c r="B22" s="14"/>
      <c r="C22" s="14"/>
      <c r="D22" s="14"/>
      <c r="E22" s="14"/>
      <c r="F22" s="14"/>
      <c r="G22" s="14"/>
      <c r="H22" s="14"/>
    </row>
    <row r="23" spans="1:8">
      <c r="A23" s="14"/>
      <c r="B23" s="14"/>
      <c r="C23" s="14"/>
      <c r="D23" s="14"/>
      <c r="E23" s="14"/>
      <c r="F23" s="14"/>
      <c r="G23" s="14"/>
      <c r="H23" s="14"/>
    </row>
    <row r="26" spans="1:8" ht="15">
      <c r="A26" s="9" t="s">
        <v>20</v>
      </c>
      <c r="B26" s="9" t="s">
        <v>8</v>
      </c>
    </row>
    <row r="27" spans="1:8">
      <c r="A27" s="10" t="str">
        <f>IF('Portfolio History'!A6="","",'Portfolio History'!A6)</f>
        <v/>
      </c>
      <c r="B27" s="2" t="str">
        <f>IF('Portfolio History'!A6="","",'Portfolio History'!D6)</f>
        <v/>
      </c>
    </row>
    <row r="28" spans="1:8">
      <c r="A28" s="10" t="str">
        <f>IF('Portfolio History'!A7="","",'Portfolio History'!A7)</f>
        <v/>
      </c>
      <c r="B28" s="2" t="str">
        <f>IF('Portfolio History'!A7="","",'Portfolio History'!D7)</f>
        <v/>
      </c>
    </row>
    <row r="29" spans="1:8">
      <c r="A29" s="10" t="str">
        <f>IF('Portfolio History'!A8="","",'Portfolio History'!A8)</f>
        <v/>
      </c>
      <c r="B29" s="2" t="str">
        <f>IF('Portfolio History'!A8="","",'Portfolio History'!D8)</f>
        <v/>
      </c>
    </row>
    <row r="30" spans="1:8">
      <c r="A30" s="10" t="str">
        <f>IF('Portfolio History'!A9="","",'Portfolio History'!A9)</f>
        <v/>
      </c>
      <c r="B30" s="2" t="str">
        <f>IF('Portfolio History'!A9="","",'Portfolio History'!D9)</f>
        <v/>
      </c>
    </row>
    <row r="31" spans="1:8">
      <c r="A31" s="10" t="str">
        <f>IF('Portfolio History'!A10="","",'Portfolio History'!A10)</f>
        <v/>
      </c>
      <c r="B31" s="2" t="str">
        <f>IF('Portfolio History'!A10="","",'Portfolio History'!D10)</f>
        <v/>
      </c>
    </row>
    <row r="32" spans="1:8">
      <c r="A32" s="10" t="str">
        <f>IF('Portfolio History'!A11="","",'Portfolio History'!A11)</f>
        <v/>
      </c>
      <c r="B32" s="2" t="str">
        <f>IF('Portfolio History'!A11="","",'Portfolio History'!D11)</f>
        <v/>
      </c>
    </row>
    <row r="33" spans="1:2">
      <c r="A33" s="10" t="str">
        <f>IF('Portfolio History'!A12="","",'Portfolio History'!A12)</f>
        <v/>
      </c>
      <c r="B33" s="2" t="str">
        <f>IF('Portfolio History'!A12="","",'Portfolio History'!D12)</f>
        <v/>
      </c>
    </row>
    <row r="34" spans="1:2">
      <c r="A34" s="10" t="str">
        <f>IF('Portfolio History'!A13="","",'Portfolio History'!A13)</f>
        <v/>
      </c>
      <c r="B34" s="2" t="str">
        <f>IF('Portfolio History'!A13="","",'Portfolio History'!D13)</f>
        <v/>
      </c>
    </row>
    <row r="35" spans="1:2">
      <c r="A35" s="10" t="str">
        <f>IF('Portfolio History'!A14="","",'Portfolio History'!A14)</f>
        <v/>
      </c>
      <c r="B35" s="2" t="str">
        <f>IF('Portfolio History'!A14="","",'Portfolio History'!D14)</f>
        <v/>
      </c>
    </row>
    <row r="36" spans="1:2">
      <c r="A36" s="10" t="str">
        <f>IF('Portfolio History'!A15="","",'Portfolio History'!A15)</f>
        <v/>
      </c>
      <c r="B36" s="2" t="str">
        <f>IF('Portfolio History'!A15="","",'Portfolio History'!D15)</f>
        <v/>
      </c>
    </row>
    <row r="57" spans="18:18" ht="21">
      <c r="R57" s="24"/>
    </row>
  </sheetData>
  <mergeCells count="3">
    <mergeCell ref="A1:H1"/>
    <mergeCell ref="A20:H20"/>
    <mergeCell ref="A21:H23"/>
  </mergeCells>
  <pageMargins left="0.7" right="0.7" top="0.75" bottom="0.75" header="0.3" footer="0.3"/>
  <headerFooter>
    <oddHeader>&amp;L&amp;"Aptos"&amp;10&amp;K000000 Confidential - Oracle Restricted \Employees Only&amp;1#_x000D_</oddHeader>
    <oddFooter>&amp;L_x000D_&amp;1#&amp;"Aptos"&amp;10&amp;K000000 Confidential - Oracle Restricted \Employees Only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"/>
  <sheetViews>
    <sheetView showGridLines="0" workbookViewId="0">
      <pane ySplit="6" topLeftCell="A7" activePane="bottomLeft" state="frozen"/>
      <selection pane="bottomLeft" activeCell="G14" sqref="G14"/>
    </sheetView>
  </sheetViews>
  <sheetFormatPr baseColWidth="10" defaultColWidth="8.83203125" defaultRowHeight="14"/>
  <cols>
    <col min="1" max="1" width="28" customWidth="1"/>
    <col min="2" max="3" width="22" customWidth="1"/>
    <col min="4" max="4" width="15" customWidth="1"/>
    <col min="5" max="5" width="16" customWidth="1"/>
    <col min="6" max="6" width="28" customWidth="1"/>
    <col min="7" max="7" width="19.1640625" bestFit="1" customWidth="1"/>
    <col min="8" max="8" width="16" bestFit="1" customWidth="1"/>
    <col min="9" max="9" width="10.5" bestFit="1" customWidth="1"/>
  </cols>
  <sheetData>
    <row r="1" spans="1:10" ht="28" customHeight="1">
      <c r="A1" s="13" t="s">
        <v>21</v>
      </c>
      <c r="B1" s="13"/>
      <c r="C1" s="13"/>
      <c r="D1" s="13"/>
      <c r="E1" s="13"/>
      <c r="F1" s="13"/>
    </row>
    <row r="3" spans="1:10" ht="14" customHeight="1">
      <c r="A3" s="16" t="s">
        <v>44</v>
      </c>
      <c r="B3" s="17"/>
      <c r="C3" s="17"/>
      <c r="D3" s="17"/>
      <c r="E3" s="17"/>
      <c r="F3" s="17"/>
      <c r="G3" s="17"/>
      <c r="H3" s="17"/>
      <c r="I3" s="17"/>
      <c r="J3" s="17"/>
    </row>
    <row r="4" spans="1:10">
      <c r="A4" s="16"/>
      <c r="B4" s="17"/>
      <c r="C4" s="17"/>
      <c r="D4" s="17"/>
      <c r="E4" s="17"/>
      <c r="F4" s="17"/>
      <c r="G4" s="17"/>
      <c r="H4" s="17"/>
      <c r="I4" s="17"/>
      <c r="J4" s="17"/>
    </row>
    <row r="6" spans="1:10" ht="15">
      <c r="A6" s="1" t="s">
        <v>22</v>
      </c>
      <c r="B6" s="1" t="s">
        <v>23</v>
      </c>
      <c r="C6" s="1" t="s">
        <v>24</v>
      </c>
      <c r="D6" s="1" t="s">
        <v>25</v>
      </c>
      <c r="E6" s="1" t="s">
        <v>26</v>
      </c>
      <c r="F6" s="1" t="s">
        <v>27</v>
      </c>
      <c r="G6" t="s">
        <v>45</v>
      </c>
      <c r="H6" t="s">
        <v>46</v>
      </c>
      <c r="I6" t="s">
        <v>47</v>
      </c>
      <c r="J6" t="s">
        <v>48</v>
      </c>
    </row>
    <row r="7" spans="1:10">
      <c r="A7" s="11" t="s">
        <v>28</v>
      </c>
      <c r="B7" s="11" t="s">
        <v>5</v>
      </c>
      <c r="C7" s="11"/>
      <c r="D7" s="11" t="s">
        <v>29</v>
      </c>
      <c r="E7" s="12">
        <v>20000</v>
      </c>
      <c r="F7" s="11"/>
      <c r="G7" t="s">
        <v>49</v>
      </c>
      <c r="I7" t="str">
        <f>IF(OR(G7&lt;&gt;"Market investment",H7="",E7=""),"",E7-H7)</f>
        <v/>
      </c>
      <c r="J7" t="str">
        <f>IF(OR(G7&lt;&gt;"Market investment",H7="",H7=0,E7=""),"",I7/H7)</f>
        <v/>
      </c>
    </row>
    <row r="8" spans="1:10">
      <c r="A8" s="11" t="s">
        <v>30</v>
      </c>
      <c r="B8" s="11" t="s">
        <v>5</v>
      </c>
      <c r="C8" s="11"/>
      <c r="D8" s="11" t="s">
        <v>29</v>
      </c>
      <c r="E8" s="12"/>
      <c r="F8" s="11"/>
      <c r="G8" t="s">
        <v>49</v>
      </c>
      <c r="I8" t="str">
        <f>IF(OR(G8&lt;&gt;"Market investment",H8="",E8=""),"",E8-H8)</f>
        <v/>
      </c>
      <c r="J8" t="str">
        <f>IF(OR(G8&lt;&gt;"Market investment",H8="",H8=0,E8=""),"",I8/H8)</f>
        <v/>
      </c>
    </row>
    <row r="9" spans="1:10">
      <c r="A9" s="11" t="s">
        <v>31</v>
      </c>
      <c r="B9" s="11" t="s">
        <v>7</v>
      </c>
      <c r="C9" s="11"/>
      <c r="D9" s="11" t="s">
        <v>29</v>
      </c>
      <c r="E9" s="12"/>
      <c r="F9" s="11"/>
      <c r="G9" t="s">
        <v>50</v>
      </c>
      <c r="I9" t="str">
        <f>IF(OR(G9&lt;&gt;"Market investment",H9="",E9=""),"",E9-H9)</f>
        <v/>
      </c>
      <c r="J9" t="str">
        <f>IF(OR(G9&lt;&gt;"Market investment",H9="",H9=0,E9=""),"",I9/H9)</f>
        <v/>
      </c>
    </row>
    <row r="10" spans="1:10">
      <c r="A10" s="11" t="s">
        <v>32</v>
      </c>
      <c r="B10" s="11" t="s">
        <v>7</v>
      </c>
      <c r="C10" s="11"/>
      <c r="D10" s="11" t="s">
        <v>29</v>
      </c>
      <c r="E10" s="12"/>
      <c r="F10" s="11"/>
      <c r="G10" t="s">
        <v>50</v>
      </c>
      <c r="I10" t="str">
        <f>IF(OR(G10&lt;&gt;"Market investment",H10="",E10=""),"",E10-H10)</f>
        <v/>
      </c>
      <c r="J10" t="str">
        <f>IF(OR(G10&lt;&gt;"Market investment",H10="",H10=0,E10=""),"",I10/H10)</f>
        <v/>
      </c>
    </row>
    <row r="11" spans="1:10">
      <c r="A11" s="11" t="s">
        <v>9</v>
      </c>
      <c r="B11" s="11" t="s">
        <v>9</v>
      </c>
      <c r="C11" s="11"/>
      <c r="D11" s="11" t="s">
        <v>29</v>
      </c>
      <c r="E11" s="12">
        <v>100000</v>
      </c>
      <c r="F11" s="11"/>
      <c r="G11" t="s">
        <v>50</v>
      </c>
      <c r="H11">
        <v>80000</v>
      </c>
      <c r="I11">
        <f>IF(OR(G11&lt;&gt;"Market investment",H11="",E11=""),"",E11-H11)</f>
        <v>20000</v>
      </c>
      <c r="J11">
        <f>IF(OR(G11&lt;&gt;"Market investment",H11="",H11=0,E11=""),"",I11/H11)</f>
        <v>0.25</v>
      </c>
    </row>
    <row r="12" spans="1:10">
      <c r="A12" s="11" t="s">
        <v>33</v>
      </c>
      <c r="B12" s="11" t="s">
        <v>11</v>
      </c>
      <c r="C12" s="11"/>
      <c r="D12" s="11" t="s">
        <v>29</v>
      </c>
      <c r="E12" s="12"/>
      <c r="F12" s="11"/>
      <c r="G12" t="s">
        <v>49</v>
      </c>
      <c r="I12" t="str">
        <f>IF(OR(G12&lt;&gt;"Market investment",H12="",E12=""),"",E12-H12)</f>
        <v/>
      </c>
      <c r="J12" t="str">
        <f>IF(OR(G12&lt;&gt;"Market investment",H12="",H12=0,E12=""),"",I12/H12)</f>
        <v/>
      </c>
    </row>
    <row r="13" spans="1:10">
      <c r="A13" s="11" t="s">
        <v>34</v>
      </c>
      <c r="B13" s="11" t="s">
        <v>12</v>
      </c>
      <c r="C13" s="11"/>
      <c r="D13" s="11" t="s">
        <v>29</v>
      </c>
      <c r="E13" s="12"/>
      <c r="F13" s="11"/>
      <c r="G13" t="s">
        <v>49</v>
      </c>
      <c r="I13" t="str">
        <f>IF(OR(G13&lt;&gt;"Market investment",H13="",E13=""),"",E13-H13)</f>
        <v/>
      </c>
      <c r="J13" t="str">
        <f>IF(OR(G13&lt;&gt;"Market investment",H13="",H13=0,E13=""),"",I13/H13)</f>
        <v/>
      </c>
    </row>
    <row r="14" spans="1:10">
      <c r="A14" s="11" t="s">
        <v>35</v>
      </c>
      <c r="B14" s="11" t="s">
        <v>14</v>
      </c>
      <c r="C14" s="11"/>
      <c r="D14" s="11" t="s">
        <v>29</v>
      </c>
      <c r="E14" s="12">
        <v>200000</v>
      </c>
      <c r="F14" s="11"/>
      <c r="G14" t="s">
        <v>49</v>
      </c>
      <c r="I14" t="str">
        <f>IF(OR(G14&lt;&gt;"Market investment",H14="",E14=""),"",E14-H14)</f>
        <v/>
      </c>
      <c r="J14" t="str">
        <f>IF(OR(G14&lt;&gt;"Market investment",H14="",H14=0,E14=""),"",I14/H14)</f>
        <v/>
      </c>
    </row>
    <row r="15" spans="1:10">
      <c r="A15" s="11" t="s">
        <v>36</v>
      </c>
      <c r="B15" s="11" t="s">
        <v>16</v>
      </c>
      <c r="C15" s="11"/>
      <c r="D15" s="11" t="s">
        <v>37</v>
      </c>
      <c r="E15" s="12"/>
      <c r="F15" s="11"/>
      <c r="G15" t="s">
        <v>49</v>
      </c>
      <c r="I15" t="str">
        <f>IF(OR(G15&lt;&gt;"Market investment",H15="",E15=""),"",E15-H15)</f>
        <v/>
      </c>
      <c r="J15" t="str">
        <f>IF(OR(G15&lt;&gt;"Market investment",H15="",H15=0,E15=""),"",I15/H15)</f>
        <v/>
      </c>
    </row>
    <row r="16" spans="1:10">
      <c r="A16" s="11" t="s">
        <v>38</v>
      </c>
      <c r="B16" s="11" t="s">
        <v>16</v>
      </c>
      <c r="C16" s="11"/>
      <c r="D16" s="11" t="s">
        <v>37</v>
      </c>
      <c r="E16" s="12"/>
      <c r="F16" s="11"/>
      <c r="G16" t="s">
        <v>49</v>
      </c>
      <c r="I16" t="str">
        <f>IF(OR(G16&lt;&gt;"Market investment",H16="",E16=""),"",E16-H16)</f>
        <v/>
      </c>
      <c r="J16" t="str">
        <f>IF(OR(G16&lt;&gt;"Market investment",H16="",H16=0,E16=""),"",I16/H16)</f>
        <v/>
      </c>
    </row>
    <row r="17" spans="1:10">
      <c r="A17" s="11"/>
      <c r="B17" s="11" t="s">
        <v>16</v>
      </c>
      <c r="C17" s="11"/>
      <c r="D17" s="11" t="s">
        <v>29</v>
      </c>
      <c r="E17" s="12"/>
      <c r="F17" s="11"/>
      <c r="G17" t="s">
        <v>49</v>
      </c>
      <c r="I17" t="str">
        <f>IF(OR(G17&lt;&gt;"Market investment",H17="",E17=""),"",E17-H17)</f>
        <v/>
      </c>
      <c r="J17" t="str">
        <f>IF(OR(G17&lt;&gt;"Market investment",H17="",H17=0,E17=""),"",I17/H17)</f>
        <v/>
      </c>
    </row>
    <row r="18" spans="1:10">
      <c r="A18" s="11"/>
      <c r="B18" s="11" t="s">
        <v>16</v>
      </c>
      <c r="C18" s="11"/>
      <c r="D18" s="11" t="s">
        <v>29</v>
      </c>
      <c r="E18" s="12"/>
      <c r="F18" s="11"/>
      <c r="G18" t="s">
        <v>49</v>
      </c>
      <c r="I18" t="str">
        <f>IF(OR(G18&lt;&gt;"Market investment",H18="",E18=""),"",E18-H18)</f>
        <v/>
      </c>
      <c r="J18" t="str">
        <f>IF(OR(G18&lt;&gt;"Market investment",H18="",H18=0,E18=""),"",I18/H18)</f>
        <v/>
      </c>
    </row>
    <row r="19" spans="1:10">
      <c r="A19" s="11"/>
      <c r="B19" s="11" t="s">
        <v>16</v>
      </c>
      <c r="C19" s="11"/>
      <c r="D19" s="11" t="s">
        <v>29</v>
      </c>
      <c r="E19" s="12"/>
      <c r="F19" s="11"/>
      <c r="G19" t="s">
        <v>49</v>
      </c>
      <c r="I19" t="str">
        <f>IF(OR(G19&lt;&gt;"Market investment",H19="",E19=""),"",E19-H19)</f>
        <v/>
      </c>
      <c r="J19" t="str">
        <f>IF(OR(G19&lt;&gt;"Market investment",H19="",H19=0,E19=""),"",I19/H19)</f>
        <v/>
      </c>
    </row>
    <row r="20" spans="1:10">
      <c r="A20" s="11"/>
      <c r="B20" s="11" t="s">
        <v>16</v>
      </c>
      <c r="C20" s="11"/>
      <c r="D20" s="11" t="s">
        <v>29</v>
      </c>
      <c r="E20" s="12"/>
      <c r="F20" s="11"/>
      <c r="G20" t="s">
        <v>49</v>
      </c>
      <c r="I20" t="str">
        <f>IF(OR(G20&lt;&gt;"Market investment",H20="",E20=""),"",E20-H20)</f>
        <v/>
      </c>
      <c r="J20" t="str">
        <f>IF(OR(G20&lt;&gt;"Market investment",H20="",H20=0,E20=""),"",I20/H20)</f>
        <v/>
      </c>
    </row>
    <row r="21" spans="1:10">
      <c r="A21" s="11"/>
      <c r="B21" s="11" t="s">
        <v>16</v>
      </c>
      <c r="C21" s="11"/>
      <c r="D21" s="11" t="s">
        <v>29</v>
      </c>
      <c r="E21" s="12"/>
      <c r="F21" s="11"/>
      <c r="G21" t="s">
        <v>49</v>
      </c>
      <c r="I21" t="str">
        <f>IF(OR(G21&lt;&gt;"Market investment",H21="",E21=""),"",E21-H21)</f>
        <v/>
      </c>
      <c r="J21" t="str">
        <f>IF(OR(G21&lt;&gt;"Market investment",H21="",H21=0,E21=""),"",I21/H21)</f>
        <v/>
      </c>
    </row>
    <row r="22" spans="1:10">
      <c r="A22" s="11"/>
      <c r="B22" s="11" t="s">
        <v>16</v>
      </c>
      <c r="C22" s="11"/>
      <c r="D22" s="11" t="s">
        <v>29</v>
      </c>
      <c r="E22" s="12"/>
      <c r="F22" s="11"/>
      <c r="G22" t="s">
        <v>49</v>
      </c>
      <c r="I22" t="str">
        <f>IF(OR(G22&lt;&gt;"Market investment",H22="",E22=""),"",E22-H22)</f>
        <v/>
      </c>
      <c r="J22" t="str">
        <f>IF(OR(G22&lt;&gt;"Market investment",H22="",H22=0,E22=""),"",I22/H22)</f>
        <v/>
      </c>
    </row>
    <row r="23" spans="1:10">
      <c r="A23" s="11"/>
      <c r="B23" s="11" t="s">
        <v>16</v>
      </c>
      <c r="C23" s="11"/>
      <c r="D23" s="11" t="s">
        <v>29</v>
      </c>
      <c r="E23" s="12"/>
      <c r="F23" s="11"/>
      <c r="G23" t="s">
        <v>49</v>
      </c>
      <c r="I23" t="str">
        <f>IF(OR(G23&lt;&gt;"Market investment",H23="",E23=""),"",E23-H23)</f>
        <v/>
      </c>
      <c r="J23" t="str">
        <f>IF(OR(G23&lt;&gt;"Market investment",H23="",H23=0,E23=""),"",I23/H23)</f>
        <v/>
      </c>
    </row>
    <row r="24" spans="1:10">
      <c r="A24" s="11"/>
      <c r="B24" s="11" t="s">
        <v>16</v>
      </c>
      <c r="C24" s="11"/>
      <c r="D24" s="11" t="s">
        <v>29</v>
      </c>
      <c r="E24" s="12"/>
      <c r="F24" s="11"/>
      <c r="G24" t="s">
        <v>49</v>
      </c>
      <c r="I24" t="str">
        <f>IF(OR(G24&lt;&gt;"Market investment",H24="",E24=""),"",E24-H24)</f>
        <v/>
      </c>
      <c r="J24" t="str">
        <f>IF(OR(G24&lt;&gt;"Market investment",H24="",H24=0,E24=""),"",I24/H24)</f>
        <v/>
      </c>
    </row>
    <row r="25" spans="1:10">
      <c r="A25" s="11"/>
      <c r="B25" s="11" t="s">
        <v>16</v>
      </c>
      <c r="C25" s="11"/>
      <c r="D25" s="11" t="s">
        <v>29</v>
      </c>
      <c r="E25" s="12"/>
      <c r="F25" s="11"/>
      <c r="G25" t="s">
        <v>49</v>
      </c>
      <c r="I25" t="str">
        <f>IF(OR(G25&lt;&gt;"Market investment",H25="",E25=""),"",E25-H25)</f>
        <v/>
      </c>
      <c r="J25" t="str">
        <f>IF(OR(G25&lt;&gt;"Market investment",H25="",H25=0,E25=""),"",I25/H25)</f>
        <v/>
      </c>
    </row>
    <row r="26" spans="1:10">
      <c r="A26" s="11"/>
      <c r="B26" s="11" t="s">
        <v>16</v>
      </c>
      <c r="C26" s="11"/>
      <c r="D26" s="11" t="s">
        <v>29</v>
      </c>
      <c r="E26" s="12"/>
      <c r="F26" s="11"/>
      <c r="G26" t="s">
        <v>49</v>
      </c>
      <c r="I26" t="str">
        <f>IF(OR(G26&lt;&gt;"Market investment",H26="",E26=""),"",E26-H26)</f>
        <v/>
      </c>
      <c r="J26" t="str">
        <f>IF(OR(G26&lt;&gt;"Market investment",H26="",H26=0,E26=""),"",I26/H26)</f>
        <v/>
      </c>
    </row>
    <row r="27" spans="1:10">
      <c r="A27" s="11"/>
      <c r="B27" s="11" t="s">
        <v>16</v>
      </c>
      <c r="C27" s="11"/>
      <c r="D27" s="11" t="s">
        <v>29</v>
      </c>
      <c r="E27" s="12"/>
      <c r="F27" s="11"/>
      <c r="G27" t="s">
        <v>49</v>
      </c>
      <c r="I27" t="str">
        <f>IF(OR(G27&lt;&gt;"Market investment",H27="",E27=""),"",E27-H27)</f>
        <v/>
      </c>
      <c r="J27" t="str">
        <f>IF(OR(G27&lt;&gt;"Market investment",H27="",H27=0,E27=""),"",I27/H27)</f>
        <v/>
      </c>
    </row>
    <row r="28" spans="1:10">
      <c r="A28" s="11"/>
      <c r="B28" s="11" t="s">
        <v>16</v>
      </c>
      <c r="C28" s="11"/>
      <c r="D28" s="11" t="s">
        <v>29</v>
      </c>
      <c r="E28" s="12"/>
      <c r="F28" s="11"/>
      <c r="G28" t="s">
        <v>49</v>
      </c>
      <c r="I28" t="str">
        <f>IF(OR(G28&lt;&gt;"Market investment",H28="",E28=""),"",E28-H28)</f>
        <v/>
      </c>
      <c r="J28" t="str">
        <f>IF(OR(G28&lt;&gt;"Market investment",H28="",H28=0,E28=""),"",I28/H28)</f>
        <v/>
      </c>
    </row>
    <row r="29" spans="1:10">
      <c r="A29" s="11"/>
      <c r="B29" s="11" t="s">
        <v>16</v>
      </c>
      <c r="C29" s="11"/>
      <c r="D29" s="11" t="s">
        <v>29</v>
      </c>
      <c r="E29" s="12"/>
      <c r="F29" s="11"/>
      <c r="G29" t="s">
        <v>49</v>
      </c>
      <c r="I29" t="str">
        <f>IF(OR(G29&lt;&gt;"Market investment",H29="",E29=""),"",E29-H29)</f>
        <v/>
      </c>
      <c r="J29" t="str">
        <f>IF(OR(G29&lt;&gt;"Market investment",H29="",H29=0,E29=""),"",I29/H29)</f>
        <v/>
      </c>
    </row>
    <row r="30" spans="1:10">
      <c r="A30" s="11"/>
      <c r="B30" s="11" t="s">
        <v>16</v>
      </c>
      <c r="C30" s="11"/>
      <c r="D30" s="11" t="s">
        <v>29</v>
      </c>
      <c r="E30" s="12"/>
      <c r="F30" s="11"/>
      <c r="G30" t="s">
        <v>49</v>
      </c>
      <c r="I30" t="str">
        <f>IF(OR(G30&lt;&gt;"Market investment",H30="",E30=""),"",E30-H30)</f>
        <v/>
      </c>
      <c r="J30" t="str">
        <f>IF(OR(G30&lt;&gt;"Market investment",H30="",H30=0,E30=""),"",I30/H30)</f>
        <v/>
      </c>
    </row>
  </sheetData>
  <mergeCells count="2">
    <mergeCell ref="A1:F1"/>
    <mergeCell ref="A3:J4"/>
  </mergeCells>
  <dataValidations count="2">
    <dataValidation type="list" sqref="B7:B30" xr:uid="{00000000-0002-0000-0100-000000000000}">
      <formula1>"Cash,Equity,Mutual funds / ETFs,Fixed income,Retirement,Gold / alternatives,Other"</formula1>
    </dataValidation>
    <dataValidation type="list" sqref="D7:D30" xr:uid="{00000000-0002-0000-0100-000001000000}">
      <formula1>"Asset,Liability"</formula1>
    </dataValidation>
  </dataValidations>
  <pageMargins left="0.7" right="0.7" top="0.75" bottom="0.75" header="0.3" footer="0.3"/>
  <headerFooter>
    <oddHeader>&amp;L&amp;"Aptos"&amp;10&amp;K000000 Confidential - Oracle Restricted \Employees Only&amp;1#_x000D_</oddHeader>
    <oddFooter>&amp;L_x000D_&amp;1#&amp;"Aptos"&amp;10&amp;K000000 Confidential - Oracle Restricted \Employees Only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5"/>
  <sheetViews>
    <sheetView showGridLines="0" workbookViewId="0">
      <pane ySplit="5" topLeftCell="A6" activePane="bottomLeft" state="frozen"/>
      <selection pane="bottomLeft" sqref="A1:H1"/>
    </sheetView>
  </sheetViews>
  <sheetFormatPr baseColWidth="10" defaultColWidth="8.83203125" defaultRowHeight="14"/>
  <cols>
    <col min="1" max="1" width="20" customWidth="1"/>
    <col min="2" max="7" width="18" customWidth="1"/>
    <col min="8" max="8" width="14" customWidth="1"/>
  </cols>
  <sheetData>
    <row r="1" spans="1:12" ht="28" customHeight="1">
      <c r="A1" s="13" t="s">
        <v>57</v>
      </c>
      <c r="B1" s="13"/>
      <c r="C1" s="13"/>
      <c r="D1" s="13"/>
      <c r="E1" s="13"/>
      <c r="F1" s="13"/>
      <c r="G1" s="13"/>
      <c r="H1" s="13"/>
    </row>
    <row r="3" spans="1:12">
      <c r="A3" s="14" t="s">
        <v>39</v>
      </c>
      <c r="B3" s="14"/>
      <c r="C3" s="14"/>
      <c r="D3" s="14"/>
      <c r="E3" s="14"/>
      <c r="F3" s="14"/>
      <c r="G3" s="14"/>
      <c r="H3" s="14"/>
    </row>
    <row r="5" spans="1:12" ht="15">
      <c r="A5" s="1" t="s">
        <v>40</v>
      </c>
      <c r="B5" s="1" t="s">
        <v>4</v>
      </c>
      <c r="C5" s="1" t="s">
        <v>41</v>
      </c>
      <c r="D5" s="1" t="s">
        <v>8</v>
      </c>
      <c r="E5" s="1" t="s">
        <v>5</v>
      </c>
      <c r="F5" s="1" t="s">
        <v>13</v>
      </c>
      <c r="G5" s="1" t="s">
        <v>42</v>
      </c>
      <c r="H5" s="1" t="s">
        <v>43</v>
      </c>
      <c r="I5" t="s">
        <v>51</v>
      </c>
      <c r="J5" t="s">
        <v>52</v>
      </c>
      <c r="K5" t="s">
        <v>53</v>
      </c>
      <c r="L5" t="s">
        <v>48</v>
      </c>
    </row>
    <row r="6" spans="1:12">
      <c r="G6" s="2"/>
      <c r="H6" s="21"/>
    </row>
    <row r="7" spans="1:12">
      <c r="G7" s="2" t="str">
        <f>IF(OR(A7="",A6="",D6=""),"",D7-D6)</f>
        <v/>
      </c>
      <c r="H7" s="21" t="str">
        <f>IF(OR(A7="",A6="",D6="",D6=0),"",G7/D6)</f>
        <v/>
      </c>
    </row>
    <row r="8" spans="1:12">
      <c r="G8" s="2" t="str">
        <f>IF(OR(A8="",A7="",D7=""),"",D8-D7)</f>
        <v/>
      </c>
      <c r="H8" s="21" t="str">
        <f>IF(OR(A8="",A7="",D7="",D7=0),"",G8/D7)</f>
        <v/>
      </c>
    </row>
    <row r="9" spans="1:12">
      <c r="G9" s="2" t="str">
        <f>IF(OR(A9="",A8="",D8=""),"",D9-D8)</f>
        <v/>
      </c>
      <c r="H9" s="21" t="str">
        <f>IF(OR(A9="",A8="",D8="",D8=0),"",G9/D8)</f>
        <v/>
      </c>
    </row>
    <row r="10" spans="1:12">
      <c r="G10" s="2" t="str">
        <f>IF(OR(A10="",A9="",D9=""),"",D10-D9)</f>
        <v/>
      </c>
      <c r="H10" s="21" t="str">
        <f>IF(OR(A10="",A9="",D9="",D9=0),"",G10/D9)</f>
        <v/>
      </c>
    </row>
    <row r="11" spans="1:12">
      <c r="G11" s="2" t="str">
        <f>IF(OR(A11="",A10="",D10=""),"",D11-D10)</f>
        <v/>
      </c>
      <c r="H11" s="21" t="str">
        <f>IF(OR(A11="",A10="",D10="",D10=0),"",G11/D10)</f>
        <v/>
      </c>
    </row>
    <row r="12" spans="1:12">
      <c r="G12" s="2" t="str">
        <f>IF(OR(A12="",A11="",D11=""),"",D12-D11)</f>
        <v/>
      </c>
      <c r="H12" s="21" t="str">
        <f>IF(OR(A12="",A11="",D11="",D11=0),"",G12/D11)</f>
        <v/>
      </c>
    </row>
    <row r="13" spans="1:12">
      <c r="G13" s="2" t="str">
        <f>IF(OR(A13="",A12="",D12=""),"",D13-D12)</f>
        <v/>
      </c>
      <c r="H13" s="21" t="str">
        <f>IF(OR(A13="",A12="",D12="",D12=0),"",G13/D12)</f>
        <v/>
      </c>
    </row>
    <row r="14" spans="1:12">
      <c r="G14" s="2" t="str">
        <f>IF(OR(A14="",A13="",D13=""),"",D14-D13)</f>
        <v/>
      </c>
      <c r="H14" s="21" t="str">
        <f>IF(OR(A14="",A13="",D13="",D13=0),"",G14/D13)</f>
        <v/>
      </c>
    </row>
    <row r="15" spans="1:12">
      <c r="G15" s="2" t="str">
        <f>IF(OR(A15="",A14="",D14=""),"",D15-D14)</f>
        <v/>
      </c>
      <c r="H15" s="21" t="str">
        <f>IF(OR(A15="",A14="",D14="",D14=0),"",G15/D14)</f>
        <v/>
      </c>
    </row>
    <row r="16" spans="1:12">
      <c r="G16" s="2" t="str">
        <f>IF(OR(A16="",A15="",D15=""),"",D16-D15)</f>
        <v/>
      </c>
      <c r="H16" s="21" t="str">
        <f>IF(OR(A16="",A15="",D15="",D15=0),"",G16/D15)</f>
        <v/>
      </c>
    </row>
    <row r="17" spans="1:12">
      <c r="G17" s="2" t="str">
        <f>IF(OR(A17="",A16="",D16=""),"",D17-D16)</f>
        <v/>
      </c>
      <c r="H17" s="21" t="str">
        <f>IF(OR(A17="",A16="",D16="",D16=0),"",G17/D16)</f>
        <v/>
      </c>
    </row>
    <row r="18" spans="1:12">
      <c r="G18" s="2" t="str">
        <f>IF(OR(A18="",A17="",D17=""),"",D18-D17)</f>
        <v/>
      </c>
      <c r="H18" s="21" t="str">
        <f>IF(OR(A18="",A17="",D17="",D17=0),"",G18/D17)</f>
        <v/>
      </c>
    </row>
    <row r="19" spans="1:12">
      <c r="G19" s="2" t="str">
        <f>IF(OR(A19="",A18="",D18=""),"",D19-D18)</f>
        <v/>
      </c>
      <c r="H19" s="21" t="str">
        <f>IF(OR(A19="",A18="",D18="",D18=0),"",G19/D18)</f>
        <v/>
      </c>
    </row>
    <row r="20" spans="1:12">
      <c r="G20" s="2" t="str">
        <f>IF(OR(A20="",A19="",D19=""),"",D20-D19)</f>
        <v/>
      </c>
      <c r="H20" s="21" t="str">
        <f>IF(OR(A20="",A19="",D19="",D19=0),"",G20/D19)</f>
        <v/>
      </c>
    </row>
    <row r="21" spans="1:12">
      <c r="G21" s="2" t="str">
        <f>IF(OR(A21="",A20="",D20=""),"",D21-D20)</f>
        <v/>
      </c>
      <c r="H21" s="21" t="str">
        <f>IF(OR(A21="",A20="",D20="",D20=0),"",G21/D20)</f>
        <v/>
      </c>
    </row>
    <row r="22" spans="1:12">
      <c r="G22" s="2" t="str">
        <f>IF(OR(A22="",A21="",D21=""),"",D22-D21)</f>
        <v/>
      </c>
      <c r="H22" s="21" t="str">
        <f>IF(OR(A22="",A21="",D21="",D21=0),"",G22/D21)</f>
        <v/>
      </c>
    </row>
    <row r="23" spans="1:12">
      <c r="G23" s="2" t="str">
        <f>IF(OR(A23="",A22="",D22=""),"",D23-D22)</f>
        <v/>
      </c>
      <c r="H23" s="21" t="str">
        <f>IF(OR(A23="",A22="",D22="",D22=0),"",G23/D22)</f>
        <v/>
      </c>
    </row>
    <row r="24" spans="1:12">
      <c r="A24" s="20">
        <v>46277.766886574071</v>
      </c>
      <c r="B24">
        <v>120000</v>
      </c>
      <c r="C24">
        <v>0</v>
      </c>
      <c r="D24">
        <v>120000</v>
      </c>
      <c r="E24">
        <v>20000</v>
      </c>
      <c r="F24">
        <v>100000</v>
      </c>
      <c r="G24" s="2" t="str">
        <f>IF(OR(A24="",A23="",D23=""),"",D24-D23)</f>
        <v/>
      </c>
      <c r="H24" s="21" t="str">
        <f>IF(OR(A24="",A23="",D23="",D23=0),"",G24/D23)</f>
        <v/>
      </c>
      <c r="I24">
        <v>100000</v>
      </c>
      <c r="J24">
        <v>80000</v>
      </c>
      <c r="K24">
        <v>20000</v>
      </c>
      <c r="L24">
        <v>0.25</v>
      </c>
    </row>
    <row r="25" spans="1:12">
      <c r="A25" s="20">
        <v>46277.769479166665</v>
      </c>
      <c r="B25">
        <v>120000</v>
      </c>
      <c r="C25">
        <v>0</v>
      </c>
      <c r="D25">
        <v>120000</v>
      </c>
      <c r="E25">
        <v>20000</v>
      </c>
      <c r="F25">
        <v>100000</v>
      </c>
      <c r="G25" s="2">
        <f>IF(OR(A25="",A24="",D24=""),"",D25-D24)</f>
        <v>0</v>
      </c>
      <c r="H25" s="21">
        <f>IF(OR(A25="",A24="",D24="",D24=0),"",G25/D24)</f>
        <v>0</v>
      </c>
      <c r="I25">
        <v>100000</v>
      </c>
      <c r="J25">
        <v>80000</v>
      </c>
      <c r="K25">
        <v>20000</v>
      </c>
      <c r="L25">
        <v>0.25</v>
      </c>
    </row>
    <row r="26" spans="1:12">
      <c r="A26" s="20">
        <v>46277.771053240744</v>
      </c>
      <c r="B26">
        <v>120000</v>
      </c>
      <c r="C26">
        <v>0</v>
      </c>
      <c r="D26">
        <v>120000</v>
      </c>
      <c r="E26">
        <v>20000</v>
      </c>
      <c r="F26">
        <v>100000</v>
      </c>
      <c r="G26" s="2">
        <f>IF(OR(A26="",A25="",D25=""),"",D26-D25)</f>
        <v>0</v>
      </c>
      <c r="H26" s="21">
        <f>IF(OR(A26="",A25="",D25="",D25=0),"",G26/D25)</f>
        <v>0</v>
      </c>
      <c r="I26">
        <v>100000</v>
      </c>
      <c r="J26">
        <v>80000</v>
      </c>
      <c r="K26">
        <v>20000</v>
      </c>
      <c r="L26">
        <v>0.25</v>
      </c>
    </row>
    <row r="27" spans="1:12">
      <c r="A27" s="20">
        <v>46277.7734837963</v>
      </c>
      <c r="B27">
        <v>120000</v>
      </c>
      <c r="C27">
        <v>0</v>
      </c>
      <c r="D27">
        <v>120000</v>
      </c>
      <c r="E27">
        <v>20000</v>
      </c>
      <c r="F27">
        <v>100000</v>
      </c>
      <c r="G27" s="2">
        <f>IF(OR(A27="",A26="",D26=""),"",D27-D26)</f>
        <v>0</v>
      </c>
      <c r="H27" s="21">
        <f>IF(OR(A27="",A26="",D26="",D26=0),"",G27/D26)</f>
        <v>0</v>
      </c>
      <c r="I27">
        <v>100000</v>
      </c>
      <c r="J27">
        <v>80000</v>
      </c>
      <c r="K27">
        <v>20000</v>
      </c>
      <c r="L27">
        <v>0.25</v>
      </c>
    </row>
    <row r="28" spans="1:12">
      <c r="A28" s="20">
        <v>46277.773506944446</v>
      </c>
      <c r="B28">
        <v>120000</v>
      </c>
      <c r="C28">
        <v>0</v>
      </c>
      <c r="D28">
        <v>120000</v>
      </c>
      <c r="E28">
        <v>20000</v>
      </c>
      <c r="F28">
        <v>100000</v>
      </c>
      <c r="G28" s="2">
        <f>IF(OR(A28="",A27="",D27=""),"",D28-D27)</f>
        <v>0</v>
      </c>
      <c r="H28" s="21">
        <f>IF(OR(A28="",A27="",D27="",D27=0),"",G28/D27)</f>
        <v>0</v>
      </c>
      <c r="I28">
        <v>100000</v>
      </c>
      <c r="J28">
        <v>80000</v>
      </c>
      <c r="K28">
        <v>20000</v>
      </c>
      <c r="L28">
        <v>0.25</v>
      </c>
    </row>
    <row r="29" spans="1:12">
      <c r="A29" s="20">
        <v>46277.773923611108</v>
      </c>
      <c r="B29">
        <v>120000</v>
      </c>
      <c r="C29">
        <v>0</v>
      </c>
      <c r="D29">
        <v>120000</v>
      </c>
      <c r="E29">
        <v>20000</v>
      </c>
      <c r="F29">
        <v>100000</v>
      </c>
      <c r="G29" s="2">
        <f>IF(OR(A29="",A28="",D28=""),"",D29-D28)</f>
        <v>0</v>
      </c>
      <c r="H29" s="21">
        <f>IF(OR(A29="",A28="",D28="",D28=0),"",G29/D28)</f>
        <v>0</v>
      </c>
      <c r="I29">
        <v>100000</v>
      </c>
      <c r="J29">
        <v>80000</v>
      </c>
      <c r="K29">
        <v>20000</v>
      </c>
      <c r="L29">
        <v>0.25</v>
      </c>
    </row>
    <row r="30" spans="1:12">
      <c r="A30" s="20">
        <v>46277.77412037037</v>
      </c>
      <c r="B30">
        <v>121000</v>
      </c>
      <c r="C30">
        <v>0</v>
      </c>
      <c r="D30">
        <v>121000</v>
      </c>
      <c r="E30">
        <v>20000</v>
      </c>
      <c r="F30">
        <v>101000</v>
      </c>
      <c r="G30" s="2">
        <f>IF(OR(A30="",A29="",D29=""),"",D30-D29)</f>
        <v>1000</v>
      </c>
      <c r="H30" s="21">
        <f>IF(OR(A30="",A29="",D29="",D29=0),"",G30/D29)</f>
        <v>8.3333333333333332E-3</v>
      </c>
      <c r="I30">
        <v>101000</v>
      </c>
      <c r="J30">
        <v>80000</v>
      </c>
      <c r="K30">
        <v>21000</v>
      </c>
      <c r="L30">
        <v>0.26250000000000001</v>
      </c>
    </row>
    <row r="31" spans="1:12">
      <c r="A31" s="20">
        <v>46277.774421296293</v>
      </c>
      <c r="B31">
        <v>121000</v>
      </c>
      <c r="C31">
        <v>0</v>
      </c>
      <c r="D31">
        <v>121000</v>
      </c>
      <c r="E31">
        <v>20000</v>
      </c>
      <c r="F31">
        <v>101000</v>
      </c>
      <c r="G31" s="2">
        <f>IF(OR(A31="",A30="",D30=""),"",D31-D30)</f>
        <v>0</v>
      </c>
      <c r="H31" s="21">
        <f>IF(OR(A31="",A30="",D30="",D30=0),"",G31/D30)</f>
        <v>0</v>
      </c>
      <c r="I31">
        <v>101000</v>
      </c>
      <c r="J31">
        <v>80000</v>
      </c>
      <c r="K31">
        <v>21000</v>
      </c>
      <c r="L31">
        <v>0.26250000000000001</v>
      </c>
    </row>
    <row r="32" spans="1:12">
      <c r="A32" s="20">
        <v>46277.777627314812</v>
      </c>
      <c r="B32">
        <v>121000</v>
      </c>
      <c r="C32">
        <v>0</v>
      </c>
      <c r="D32">
        <v>121000</v>
      </c>
      <c r="E32">
        <v>20000</v>
      </c>
      <c r="F32">
        <v>101000</v>
      </c>
      <c r="G32" s="2">
        <f>IF(OR(A32="",A31="",D31=""),"",D32-D31)</f>
        <v>0</v>
      </c>
      <c r="H32" s="21">
        <f>IF(OR(A32="",A31="",D31="",D31=0),"",G32/D31)</f>
        <v>0</v>
      </c>
      <c r="I32">
        <v>101000</v>
      </c>
      <c r="J32">
        <v>80000</v>
      </c>
      <c r="K32">
        <v>21000</v>
      </c>
      <c r="L32">
        <v>0.26250000000000001</v>
      </c>
    </row>
    <row r="33" spans="1:12">
      <c r="A33" s="20">
        <v>46277.777800925927</v>
      </c>
      <c r="B33">
        <v>120000</v>
      </c>
      <c r="C33">
        <v>0</v>
      </c>
      <c r="D33">
        <v>120000</v>
      </c>
      <c r="E33">
        <v>20000</v>
      </c>
      <c r="F33">
        <v>100000</v>
      </c>
      <c r="G33" s="2">
        <f>IF(OR(A33="",A32="",D32=""),"",D33-D32)</f>
        <v>-1000</v>
      </c>
      <c r="H33" s="21">
        <f>IF(OR(A33="",A32="",D32="",D32=0),"",G33/D32)</f>
        <v>-8.2644628099173556E-3</v>
      </c>
      <c r="I33">
        <v>100000</v>
      </c>
      <c r="J33">
        <v>80000</v>
      </c>
      <c r="K33">
        <v>20000</v>
      </c>
      <c r="L33">
        <v>0.25</v>
      </c>
    </row>
    <row r="34" spans="1:12">
      <c r="A34" s="20">
        <v>46277.77784722222</v>
      </c>
      <c r="B34">
        <v>120000</v>
      </c>
      <c r="C34">
        <v>0</v>
      </c>
      <c r="D34">
        <v>120000</v>
      </c>
      <c r="E34">
        <v>20000</v>
      </c>
      <c r="F34">
        <v>100000</v>
      </c>
      <c r="G34" s="2">
        <f>IF(OR(A34="",A33="",D33=""),"",D34-D33)</f>
        <v>0</v>
      </c>
      <c r="H34" s="21">
        <f>IF(OR(A34="",A33="",D33="",D33=0),"",G34/D33)</f>
        <v>0</v>
      </c>
      <c r="I34">
        <v>100000</v>
      </c>
      <c r="J34">
        <v>80000</v>
      </c>
      <c r="K34">
        <v>20000</v>
      </c>
      <c r="L34">
        <v>0.25</v>
      </c>
    </row>
    <row r="35" spans="1:12">
      <c r="A35" s="20">
        <v>46277.78025462963</v>
      </c>
      <c r="B35">
        <v>120000</v>
      </c>
      <c r="C35">
        <v>0</v>
      </c>
      <c r="D35">
        <v>120000</v>
      </c>
      <c r="E35">
        <v>20000</v>
      </c>
      <c r="F35">
        <v>100000</v>
      </c>
      <c r="G35" s="2">
        <f>IF(OR(A35="",A34="",D34=""),"",D35-D34)</f>
        <v>0</v>
      </c>
      <c r="H35" s="21">
        <f>IF(OR(A35="",A34="",D34="",D34=0),"",G35/D34)</f>
        <v>0</v>
      </c>
      <c r="I35">
        <v>100000</v>
      </c>
      <c r="J35">
        <v>80000</v>
      </c>
      <c r="K35">
        <v>20000</v>
      </c>
      <c r="L35">
        <v>0.25</v>
      </c>
    </row>
    <row r="36" spans="1:12">
      <c r="A36" s="20">
        <v>46277.780277777776</v>
      </c>
      <c r="B36">
        <v>120000</v>
      </c>
      <c r="C36">
        <v>0</v>
      </c>
      <c r="D36">
        <v>120000</v>
      </c>
      <c r="E36">
        <v>20000</v>
      </c>
      <c r="F36">
        <v>100000</v>
      </c>
      <c r="G36" s="2">
        <f>IF(OR(A36="",A35="",D35=""),"",D36-D35)</f>
        <v>0</v>
      </c>
      <c r="H36" s="21">
        <f>IF(OR(A36="",A35="",D35="",D35=0),"",G36/D35)</f>
        <v>0</v>
      </c>
      <c r="I36">
        <v>100000</v>
      </c>
      <c r="J36">
        <v>80000</v>
      </c>
      <c r="K36">
        <v>20000</v>
      </c>
      <c r="L36">
        <v>0.25</v>
      </c>
    </row>
    <row r="37" spans="1:12">
      <c r="A37" s="20">
        <v>46277.78056712963</v>
      </c>
      <c r="B37">
        <v>120000</v>
      </c>
      <c r="C37">
        <v>0</v>
      </c>
      <c r="D37">
        <v>120000</v>
      </c>
      <c r="E37">
        <v>20000</v>
      </c>
      <c r="F37">
        <v>100000</v>
      </c>
      <c r="G37" s="2">
        <f>IF(OR(A37="",A36="",D36=""),"",D37-D36)</f>
        <v>0</v>
      </c>
      <c r="H37" s="21">
        <f>IF(OR(A37="",A36="",D36="",D36=0),"",G37/D36)</f>
        <v>0</v>
      </c>
      <c r="I37">
        <v>100000</v>
      </c>
      <c r="J37">
        <v>80000</v>
      </c>
      <c r="K37">
        <v>20000</v>
      </c>
      <c r="L37">
        <v>0.25</v>
      </c>
    </row>
    <row r="38" spans="1:12">
      <c r="A38" s="20">
        <v>46277.780636574076</v>
      </c>
      <c r="B38">
        <v>120000</v>
      </c>
      <c r="C38">
        <v>0</v>
      </c>
      <c r="D38">
        <v>120000</v>
      </c>
      <c r="E38">
        <v>20000</v>
      </c>
      <c r="F38">
        <v>100000</v>
      </c>
      <c r="G38" s="2">
        <f>IF(OR(A38="",A37="",D37=""),"",D38-D37)</f>
        <v>0</v>
      </c>
      <c r="H38" s="21">
        <f>IF(OR(A38="",A37="",D37="",D37=0),"",G38/D37)</f>
        <v>0</v>
      </c>
      <c r="I38">
        <v>100000</v>
      </c>
      <c r="J38">
        <v>80000</v>
      </c>
      <c r="K38">
        <v>20000</v>
      </c>
      <c r="L38">
        <v>0.25</v>
      </c>
    </row>
    <row r="39" spans="1:12">
      <c r="A39" s="20">
        <v>46277.780868055554</v>
      </c>
      <c r="B39">
        <v>121000</v>
      </c>
      <c r="C39">
        <v>0</v>
      </c>
      <c r="D39">
        <v>121000</v>
      </c>
      <c r="E39">
        <v>20000</v>
      </c>
      <c r="F39">
        <v>101000</v>
      </c>
      <c r="G39" s="2">
        <f>IF(OR(A39="",A38="",D38=""),"",D39-D38)</f>
        <v>1000</v>
      </c>
      <c r="H39" s="21">
        <f>IF(OR(A39="",A38="",D38="",D38=0),"",G39/D38)</f>
        <v>8.3333333333333332E-3</v>
      </c>
      <c r="I39">
        <v>101000</v>
      </c>
      <c r="J39">
        <v>80000</v>
      </c>
      <c r="K39">
        <v>21000</v>
      </c>
      <c r="L39">
        <v>0.26250000000000001</v>
      </c>
    </row>
    <row r="40" spans="1:12">
      <c r="A40" s="20">
        <v>46277.782731481479</v>
      </c>
      <c r="B40">
        <v>121000</v>
      </c>
      <c r="C40">
        <v>0</v>
      </c>
      <c r="D40">
        <v>121000</v>
      </c>
      <c r="E40">
        <v>20000</v>
      </c>
      <c r="F40">
        <v>101000</v>
      </c>
      <c r="G40" s="2">
        <f>IF(OR(A40="",A39="",D39=""),"",D40-D39)</f>
        <v>0</v>
      </c>
      <c r="H40" s="21">
        <f>IF(OR(A40="",A39="",D39="",D39=0),"",G40/D39)</f>
        <v>0</v>
      </c>
      <c r="I40">
        <v>101000</v>
      </c>
      <c r="J40">
        <v>80000</v>
      </c>
      <c r="K40">
        <v>21000</v>
      </c>
      <c r="L40">
        <v>0.26250000000000001</v>
      </c>
    </row>
    <row r="41" spans="1:12">
      <c r="A41" s="20">
        <v>46277.782951388886</v>
      </c>
      <c r="B41">
        <v>120000</v>
      </c>
      <c r="C41">
        <v>0</v>
      </c>
      <c r="D41">
        <v>120000</v>
      </c>
      <c r="E41">
        <v>20000</v>
      </c>
      <c r="F41">
        <v>100000</v>
      </c>
      <c r="G41" s="2">
        <f>IF(OR(A41="",A40="",D40=""),"",D41-D40)</f>
        <v>-1000</v>
      </c>
      <c r="H41" s="21">
        <f>IF(OR(A41="",A40="",D40="",D40=0),"",G41/D40)</f>
        <v>-8.2644628099173556E-3</v>
      </c>
      <c r="I41">
        <v>100000</v>
      </c>
      <c r="J41">
        <v>80000</v>
      </c>
      <c r="K41">
        <v>20000</v>
      </c>
      <c r="L41">
        <v>0.25</v>
      </c>
    </row>
    <row r="42" spans="1:12">
      <c r="A42" s="20">
        <v>46277.784884259258</v>
      </c>
      <c r="B42">
        <v>120000</v>
      </c>
      <c r="C42">
        <v>0</v>
      </c>
      <c r="D42">
        <v>120000</v>
      </c>
      <c r="E42">
        <v>20000</v>
      </c>
      <c r="F42">
        <v>100000</v>
      </c>
      <c r="G42" s="2">
        <f>IF(OR(A42="",A41="",D41=""),"",D42-D41)</f>
        <v>0</v>
      </c>
      <c r="H42" s="21">
        <f>IF(OR(A42="",A41="",D41="",D41=0),"",G42/D41)</f>
        <v>0</v>
      </c>
      <c r="I42">
        <v>100000</v>
      </c>
      <c r="J42">
        <v>80000</v>
      </c>
      <c r="K42">
        <v>20000</v>
      </c>
      <c r="L42">
        <v>0.25</v>
      </c>
    </row>
    <row r="43" spans="1:12">
      <c r="A43" s="20">
        <v>46277.784918981481</v>
      </c>
      <c r="B43">
        <v>120000</v>
      </c>
      <c r="C43">
        <v>0</v>
      </c>
      <c r="D43">
        <v>120000</v>
      </c>
      <c r="E43">
        <v>20000</v>
      </c>
      <c r="F43">
        <v>100000</v>
      </c>
      <c r="G43" s="2">
        <f>IF(OR(A43="",A42="",D42=""),"",D43-D42)</f>
        <v>0</v>
      </c>
      <c r="H43" s="21">
        <f>IF(OR(A43="",A42="",D42="",D42=0),"",G43/D42)</f>
        <v>0</v>
      </c>
      <c r="I43">
        <v>100000</v>
      </c>
      <c r="J43">
        <v>80000</v>
      </c>
      <c r="K43">
        <v>20000</v>
      </c>
      <c r="L43">
        <v>0.25</v>
      </c>
    </row>
    <row r="44" spans="1:12">
      <c r="A44" s="20">
        <v>46277.784953703704</v>
      </c>
      <c r="B44">
        <v>120000</v>
      </c>
      <c r="C44">
        <v>0</v>
      </c>
      <c r="D44">
        <v>120000</v>
      </c>
      <c r="E44">
        <v>20000</v>
      </c>
      <c r="F44">
        <v>100000</v>
      </c>
      <c r="G44" s="2">
        <f>IF(OR(A44="",A43="",D43=""),"",D44-D43)</f>
        <v>0</v>
      </c>
      <c r="H44" s="21">
        <f>IF(OR(A44="",A43="",D43="",D43=0),"",G44/D43)</f>
        <v>0</v>
      </c>
      <c r="I44">
        <v>100000</v>
      </c>
      <c r="J44">
        <v>80000</v>
      </c>
      <c r="K44">
        <v>20000</v>
      </c>
      <c r="L44">
        <v>0.25</v>
      </c>
    </row>
    <row r="45" spans="1:12">
      <c r="A45" s="20">
        <v>46277.785752314812</v>
      </c>
      <c r="B45">
        <v>120000</v>
      </c>
      <c r="C45">
        <v>0</v>
      </c>
      <c r="D45">
        <v>120000</v>
      </c>
      <c r="E45">
        <v>20000</v>
      </c>
      <c r="F45">
        <v>100000</v>
      </c>
      <c r="G45" s="2">
        <f>IF(OR(A45="",A44="",D44=""),"",D45-D44)</f>
        <v>0</v>
      </c>
      <c r="H45" s="21">
        <f>IF(OR(A45="",A44="",D44="",D44=0),"",G45/D44)</f>
        <v>0</v>
      </c>
      <c r="I45">
        <v>100000</v>
      </c>
      <c r="J45">
        <v>80000</v>
      </c>
      <c r="K45">
        <v>20000</v>
      </c>
      <c r="L45">
        <v>0.25</v>
      </c>
    </row>
    <row r="46" spans="1:12">
      <c r="A46" s="20">
        <v>46277.785787037035</v>
      </c>
      <c r="B46">
        <v>120000</v>
      </c>
      <c r="C46">
        <v>0</v>
      </c>
      <c r="D46">
        <v>120000</v>
      </c>
      <c r="E46">
        <v>20000</v>
      </c>
      <c r="F46">
        <v>100000</v>
      </c>
      <c r="G46" s="2">
        <f>IF(OR(A46="",A45="",D45=""),"",D46-D45)</f>
        <v>0</v>
      </c>
      <c r="H46" s="21">
        <f>IF(OR(A46="",A45="",D45="",D45=0),"",G46/D45)</f>
        <v>0</v>
      </c>
      <c r="I46">
        <v>100000</v>
      </c>
      <c r="J46">
        <v>80000</v>
      </c>
      <c r="K46">
        <v>20000</v>
      </c>
      <c r="L46">
        <v>0.25</v>
      </c>
    </row>
    <row r="47" spans="1:12">
      <c r="A47" s="20">
        <v>46277.787303240744</v>
      </c>
      <c r="B47">
        <v>120000</v>
      </c>
      <c r="C47">
        <v>0</v>
      </c>
      <c r="D47">
        <v>120000</v>
      </c>
      <c r="E47">
        <v>20000</v>
      </c>
      <c r="F47">
        <v>100000</v>
      </c>
      <c r="G47" s="2">
        <f>IF(OR(A47="",A46="",D46=""),"",D47-D46)</f>
        <v>0</v>
      </c>
      <c r="H47" s="21">
        <f>IF(OR(A47="",A46="",D46="",D46=0),"",G47/D46)</f>
        <v>0</v>
      </c>
      <c r="I47">
        <v>100000</v>
      </c>
      <c r="J47">
        <v>80000</v>
      </c>
      <c r="K47">
        <v>20000</v>
      </c>
      <c r="L47">
        <v>0.25</v>
      </c>
    </row>
    <row r="48" spans="1:12">
      <c r="A48" s="20">
        <v>46277.78733796296</v>
      </c>
      <c r="B48">
        <v>120000</v>
      </c>
      <c r="C48">
        <v>0</v>
      </c>
      <c r="D48">
        <v>120000</v>
      </c>
      <c r="E48">
        <v>20000</v>
      </c>
      <c r="F48">
        <v>100000</v>
      </c>
      <c r="G48" s="2">
        <f>IF(OR(A48="",A47="",D47=""),"",D48-D47)</f>
        <v>0</v>
      </c>
      <c r="H48" s="21">
        <f>IF(OR(A48="",A47="",D47="",D47=0),"",G48/D47)</f>
        <v>0</v>
      </c>
      <c r="I48">
        <v>100000</v>
      </c>
      <c r="J48">
        <v>80000</v>
      </c>
      <c r="K48">
        <v>20000</v>
      </c>
      <c r="L48">
        <v>0.25</v>
      </c>
    </row>
    <row r="49" spans="1:12">
      <c r="A49" s="20">
        <v>46277.787523148145</v>
      </c>
      <c r="B49">
        <v>120000</v>
      </c>
      <c r="C49">
        <v>0</v>
      </c>
      <c r="D49">
        <v>120000</v>
      </c>
      <c r="E49">
        <v>20000</v>
      </c>
      <c r="F49">
        <v>100000</v>
      </c>
      <c r="G49" s="2">
        <f>IF(OR(A49="",A48="",D48=""),"",D49-D48)</f>
        <v>0</v>
      </c>
      <c r="H49" s="21">
        <f>IF(OR(A49="",A48="",D48="",D48=0),"",G49/D48)</f>
        <v>0</v>
      </c>
      <c r="I49">
        <v>100000</v>
      </c>
      <c r="J49">
        <v>80000</v>
      </c>
      <c r="K49">
        <v>20000</v>
      </c>
      <c r="L49">
        <v>0.25</v>
      </c>
    </row>
    <row r="50" spans="1:12">
      <c r="A50" s="20">
        <v>46277.7893287037</v>
      </c>
      <c r="B50">
        <v>120000</v>
      </c>
      <c r="C50">
        <v>0</v>
      </c>
      <c r="D50">
        <v>120000</v>
      </c>
      <c r="E50">
        <v>20000</v>
      </c>
      <c r="F50">
        <v>100000</v>
      </c>
      <c r="G50" s="2">
        <f>IF(OR(A50="",A49="",D49=""),"",D50-D49)</f>
        <v>0</v>
      </c>
      <c r="H50" s="21">
        <f>IF(OR(A50="",A49="",D49="",D49=0),"",G50/D49)</f>
        <v>0</v>
      </c>
      <c r="I50">
        <v>100000</v>
      </c>
      <c r="J50">
        <v>80000</v>
      </c>
      <c r="K50">
        <v>20000</v>
      </c>
      <c r="L50">
        <v>0.25</v>
      </c>
    </row>
    <row r="51" spans="1:12">
      <c r="A51" s="20">
        <v>46277.789467592593</v>
      </c>
      <c r="B51">
        <v>120000</v>
      </c>
      <c r="C51">
        <v>0</v>
      </c>
      <c r="D51">
        <v>120000</v>
      </c>
      <c r="E51">
        <v>20000</v>
      </c>
      <c r="F51">
        <v>100000</v>
      </c>
      <c r="G51" s="2">
        <f>IF(OR(A51="",A50="",D50=""),"",D51-D50)</f>
        <v>0</v>
      </c>
      <c r="H51" s="21">
        <f>IF(OR(A51="",A50="",D50="",D50=0),"",G51/D50)</f>
        <v>0</v>
      </c>
      <c r="I51">
        <v>100000</v>
      </c>
      <c r="J51">
        <v>80000</v>
      </c>
      <c r="K51">
        <v>20000</v>
      </c>
      <c r="L51">
        <v>0.25</v>
      </c>
    </row>
    <row r="52" spans="1:12">
      <c r="A52" s="20">
        <v>46277.789502314816</v>
      </c>
      <c r="B52">
        <v>120000</v>
      </c>
      <c r="C52">
        <v>0</v>
      </c>
      <c r="D52">
        <v>120000</v>
      </c>
      <c r="E52">
        <v>20000</v>
      </c>
      <c r="F52">
        <v>100000</v>
      </c>
      <c r="G52" s="2">
        <f>IF(OR(A52="",A51="",D51=""),"",D52-D51)</f>
        <v>0</v>
      </c>
      <c r="H52" s="21">
        <f>IF(OR(A52="",A51="",D51="",D51=0),"",G52/D51)</f>
        <v>0</v>
      </c>
      <c r="I52">
        <v>100000</v>
      </c>
      <c r="J52">
        <v>80000</v>
      </c>
      <c r="K52">
        <v>20000</v>
      </c>
      <c r="L52">
        <v>0.25</v>
      </c>
    </row>
    <row r="53" spans="1:12">
      <c r="A53" s="20">
        <v>46277.790509259263</v>
      </c>
      <c r="B53">
        <v>120000</v>
      </c>
      <c r="C53">
        <v>0</v>
      </c>
      <c r="D53">
        <v>120000</v>
      </c>
      <c r="E53">
        <v>20000</v>
      </c>
      <c r="F53">
        <v>100000</v>
      </c>
      <c r="G53" s="2">
        <f>IF(OR(A53="",A52="",D52=""),"",D53-D52)</f>
        <v>0</v>
      </c>
      <c r="H53" s="21">
        <f>IF(OR(A53="",A52="",D52="",D52=0),"",G53/D52)</f>
        <v>0</v>
      </c>
      <c r="I53">
        <v>100000</v>
      </c>
      <c r="J53">
        <v>80000</v>
      </c>
      <c r="K53">
        <v>20000</v>
      </c>
      <c r="L53">
        <v>0.25</v>
      </c>
    </row>
    <row r="54" spans="1:12">
      <c r="A54" s="20">
        <v>46277.791018518517</v>
      </c>
      <c r="B54">
        <v>320000</v>
      </c>
      <c r="C54">
        <v>0</v>
      </c>
      <c r="D54">
        <v>320000</v>
      </c>
      <c r="E54">
        <v>20000</v>
      </c>
      <c r="F54">
        <v>300000</v>
      </c>
      <c r="G54" s="2">
        <f>IF(OR(A54="",A53="",D53=""),"",D54-D53)</f>
        <v>200000</v>
      </c>
      <c r="H54" s="21">
        <f>IF(OR(A54="",A53="",D53="",D53=0),"",G54/D53)</f>
        <v>1.6666666666666667</v>
      </c>
      <c r="I54">
        <v>300000</v>
      </c>
      <c r="J54">
        <v>80000</v>
      </c>
      <c r="K54">
        <v>220000</v>
      </c>
      <c r="L54">
        <v>2.75</v>
      </c>
    </row>
    <row r="55" spans="1:12">
      <c r="A55" s="20">
        <v>46277.791215277779</v>
      </c>
      <c r="B55">
        <v>320000</v>
      </c>
      <c r="C55">
        <v>0</v>
      </c>
      <c r="D55">
        <v>320000</v>
      </c>
      <c r="E55">
        <v>20000</v>
      </c>
      <c r="F55">
        <v>300000</v>
      </c>
      <c r="G55" s="2">
        <f>IF(OR(A55="",A54="",D54=""),"",D55-D54)</f>
        <v>0</v>
      </c>
      <c r="H55" s="21">
        <f>IF(OR(A55="",A54="",D54="",D54=0),"",G55/D54)</f>
        <v>0</v>
      </c>
      <c r="I55">
        <v>100000</v>
      </c>
      <c r="J55">
        <v>80000</v>
      </c>
      <c r="K55">
        <v>20000</v>
      </c>
      <c r="L55">
        <v>0.25</v>
      </c>
    </row>
  </sheetData>
  <mergeCells count="2">
    <mergeCell ref="A1:H1"/>
    <mergeCell ref="A3:H3"/>
  </mergeCells>
  <phoneticPr fontId="5" type="noConversion"/>
  <pageMargins left="0.7" right="0.7" top="0.75" bottom="0.75" header="0.3" footer="0.3"/>
  <headerFooter>
    <oddHeader>&amp;L&amp;"Aptos"&amp;10&amp;K000000 Confidential - Oracle Restricted \Employees Only&amp;1#_x000D_</oddHeader>
    <oddFooter>&amp;L_x000D_&amp;1#&amp;"Aptos"&amp;10&amp;K000000 Confidential - Oracle Restricted \Employees Only</oddFooter>
  </headerFooter>
  <tableParts count="1">
    <tablePart r:id="rId1"/>
  </tableParts>
</worksheet>
</file>

<file path=docMetadata/LabelInfo.xml><?xml version="1.0" encoding="utf-8"?>
<clbl:labelList xmlns:clbl="http://schemas.microsoft.com/office/2020/mipLabelMetadata">
  <clbl:label id="{825c952f-1947-4719-99e7-7bc5a76060a8}" enabled="1" method="Standard" siteId="{4e2c6054-71cb-48f1-bd6c-3a9705aca71b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Current Balances</vt:lpstr>
      <vt:lpstr>Portfolio 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Arnav Malhotra</cp:lastModifiedBy>
  <dcterms:created xsi:type="dcterms:W3CDTF">2026-09-12T12:46:26Z</dcterms:created>
  <dcterms:modified xsi:type="dcterms:W3CDTF">2026-09-12T13:29:34Z</dcterms:modified>
</cp:coreProperties>
</file>